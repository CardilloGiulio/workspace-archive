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shboard" sheetId="1" r:id="rId4"/>
    <sheet state="visible" name="Backgrounds" sheetId="2" r:id="rId5"/>
    <sheet state="visible" name="Giulio Sprites" sheetId="3" r:id="rId6"/>
    <sheet state="visible" name="Objects &amp; Effects" sheetId="4" r:id="rId7"/>
    <sheet state="visible" name="Audio" sheetId="5" r:id="rId8"/>
    <sheet state="visible" name="Voicelines" sheetId="6" r:id="rId9"/>
  </sheets>
  <definedNames/>
  <calcPr/>
  <extLst>
    <ext uri="GoogleSheetsCustomDataVersion2">
      <go:sheetsCustomData xmlns:go="http://customooxmlschemas.google.com/" r:id="rId10" roundtripDataChecksum="X7TJmPXFKCN2cBJTpciwRGHwo8k30zE7Yn+3tqh/iF4="/>
    </ext>
  </extLst>
</workbook>
</file>

<file path=xl/sharedStrings.xml><?xml version="1.0" encoding="utf-8"?>
<sst xmlns="http://schemas.openxmlformats.org/spreadsheetml/2006/main" count="2120" uniqueCount="909">
  <si>
    <t>Giulio Sprites Checklist</t>
  </si>
  <si>
    <t>Objects &amp; Effects Checklist</t>
  </si>
  <si>
    <t>Status</t>
  </si>
  <si>
    <t>Page / Scene</t>
  </si>
  <si>
    <t>Asset / Dialogue</t>
  </si>
  <si>
    <t>Filename</t>
  </si>
  <si>
    <t>Dimensions / Format</t>
  </si>
  <si>
    <t>Purpose / Delivery</t>
  </si>
  <si>
    <t>Priority</t>
  </si>
  <si>
    <t>Notes</t>
  </si>
  <si>
    <t>Ready</t>
  </si>
  <si>
    <t>Shared</t>
  </si>
  <si>
    <t>Neutral Giulio</t>
  </si>
  <si>
    <t>giulio-neutral.webp</t>
  </si>
  <si>
    <t>1200 x 1200 px, transparent .webp</t>
  </si>
  <si>
    <t>Advice 1 - Beach</t>
  </si>
  <si>
    <t>Neutral expression for normal conversation.</t>
  </si>
  <si>
    <t>Water bucket</t>
  </si>
  <si>
    <t>Recommended</t>
  </si>
  <si>
    <t>bucket-advice1.webp</t>
  </si>
  <si>
    <t>800 x 800 px, transparent .webp</t>
  </si>
  <si>
    <t>Central Reveal Advice button.</t>
  </si>
  <si>
    <t>Core</t>
  </si>
  <si>
    <t>Happy Giulio</t>
  </si>
  <si>
    <t>giulio-happy.webp</t>
  </si>
  <si>
    <t>Joyful and energetic expression.</t>
  </si>
  <si>
    <t>Beach towel</t>
  </si>
  <si>
    <t>towel-advice1.webp</t>
  </si>
  <si>
    <t>1200 x 800 px, transparent .webp</t>
  </si>
  <si>
    <t>Placed beneath sleeping Giulio.</t>
  </si>
  <si>
    <t>Laughing Giulio</t>
  </si>
  <si>
    <t>giulio-laughing.webp</t>
  </si>
  <si>
    <t>Strong cheerful reaction.</t>
  </si>
  <si>
    <t>Optional</t>
  </si>
  <si>
    <t>Radio</t>
  </si>
  <si>
    <t>radio-advice1.webp</t>
  </si>
  <si>
    <t>Annoyed Giulio</t>
  </si>
  <si>
    <t>Interactive music control.</t>
  </si>
  <si>
    <t>giulio-annoyed.webp</t>
  </si>
  <si>
    <t>Sarcastic and irritated expression.</t>
  </si>
  <si>
    <t>Beach umbrella</t>
  </si>
  <si>
    <t>umbrella-advice1.webp</t>
  </si>
  <si>
    <t>Silent-stare Giulio</t>
  </si>
  <si>
    <t>1200 x 1600 px, transparent .webp</t>
  </si>
  <si>
    <t>giulio-silent-stare.webp</t>
  </si>
  <si>
    <t>Interactive shade object.</t>
  </si>
  <si>
    <t>Intense expression used during the silent '...' pause.</t>
  </si>
  <si>
    <t>Angry Giulio</t>
  </si>
  <si>
    <t>Cooler closed</t>
  </si>
  <si>
    <t>giulio-angry.webp</t>
  </si>
  <si>
    <t>cooler-closed-advice1.webp</t>
  </si>
  <si>
    <t>Stronger anger before Giulio nearly insults the visitor.</t>
  </si>
  <si>
    <t>Closed cooler state.</t>
  </si>
  <si>
    <t>Offended Giulio</t>
  </si>
  <si>
    <t>giulio-offended.webp</t>
  </si>
  <si>
    <t>Cooler open</t>
  </si>
  <si>
    <t>Dramatically offended expression.</t>
  </si>
  <si>
    <t>cooler-open-advice1.webp</t>
  </si>
  <si>
    <t>Open cooler state.</t>
  </si>
  <si>
    <t>Pointing Giulio portrait</t>
  </si>
  <si>
    <t>giulio-pointing.webp</t>
  </si>
  <si>
    <t>Giulio points his index finger toward the visitor.</t>
  </si>
  <si>
    <t>Ice cube</t>
  </si>
  <si>
    <t>ice-cube-advice1.webp</t>
  </si>
  <si>
    <t>512 x 512 px, transparent .webp</t>
  </si>
  <si>
    <t>Single ice cube inside the cooler.</t>
  </si>
  <si>
    <t>Realisation Giulio</t>
  </si>
  <si>
    <t>giulio-realisation.webp</t>
  </si>
  <si>
    <t>Used when Giulio remembers that he is the advice character.</t>
  </si>
  <si>
    <t>Crab idle</t>
  </si>
  <si>
    <t>crab-idle-advice1.webp</t>
  </si>
  <si>
    <t>Excited Giulio</t>
  </si>
  <si>
    <t>Normal crab state.</t>
  </si>
  <si>
    <t>giulio-excited.webp</t>
  </si>
  <si>
    <t>Sudden energetic switch into advice-host mode.</t>
  </si>
  <si>
    <t>Giulio Advice Site — Asset Production Checklist</t>
  </si>
  <si>
    <t>Crab angry</t>
  </si>
  <si>
    <t>crab-angry-advice1.webp</t>
  </si>
  <si>
    <t>Theatrical Giulio</t>
  </si>
  <si>
    <t>giulio-theatrical.webp</t>
  </si>
  <si>
    <t>Defensive crab state.</t>
  </si>
  <si>
    <t>Category</t>
  </si>
  <si>
    <t>Backgrounds Checklist</t>
  </si>
  <si>
    <t>Dramatic and flashy advice expression.</t>
  </si>
  <si>
    <t>Total</t>
  </si>
  <si>
    <t>In progress</t>
  </si>
  <si>
    <t>Not started</t>
  </si>
  <si>
    <t>Completion %</t>
  </si>
  <si>
    <t>Backgrounds</t>
  </si>
  <si>
    <t>Beach ball</t>
  </si>
  <si>
    <t>Proud Giulio</t>
  </si>
  <si>
    <t>beach-ball-advice1.webp</t>
  </si>
  <si>
    <t>giulio-proud.webp</t>
  </si>
  <si>
    <t>Interactive bouncing object.</t>
  </si>
  <si>
    <t>Satisfied expression after delivering the advice.</t>
  </si>
  <si>
    <t>Smug Giulio</t>
  </si>
  <si>
    <t>giulio-smug.webp</t>
  </si>
  <si>
    <t>Seagull</t>
  </si>
  <si>
    <t>seagull-advice1.webp</t>
  </si>
  <si>
    <t>Beach background</t>
  </si>
  <si>
    <t>background-advice1-beach.webp</t>
  </si>
  <si>
    <t>Used in the sandwich joke.</t>
  </si>
  <si>
    <t>2560 x 1440 px, .webp</t>
  </si>
  <si>
    <t>Main beach scene with sky, sea, horizon and sand; excludes Giulio and interactive objects.</t>
  </si>
  <si>
    <t>Giulio Sprites</t>
  </si>
  <si>
    <t>Sandwich</t>
  </si>
  <si>
    <t>sandwich-advice1.webp</t>
  </si>
  <si>
    <t>Giulio's lunch, stolen by the seagull.</t>
  </si>
  <si>
    <t>Foreground sand</t>
  </si>
  <si>
    <t>foreground-advice1-sand.webp</t>
  </si>
  <si>
    <t>2560 x 1440 px, transparent .webp</t>
  </si>
  <si>
    <t>Foreground sand, shells and details that can overlap Giulio and props.</t>
  </si>
  <si>
    <t>Sunglasses</t>
  </si>
  <si>
    <t>sunglasses-advice1.webp</t>
  </si>
  <si>
    <t>Objects &amp; Effects</t>
  </si>
  <si>
    <t>Moving waves layer</t>
  </si>
  <si>
    <t>Decorative interactive prop.</t>
  </si>
  <si>
    <t>waves-advice1.webp</t>
  </si>
  <si>
    <t>2560 x 512 px, transparent .webp</t>
  </si>
  <si>
    <t>Separate wave layer for subtle horizontal animation.</t>
  </si>
  <si>
    <t>Flip-flops</t>
  </si>
  <si>
    <t>flip-flops-advice1.webp</t>
  </si>
  <si>
    <t>Advice 2 - Tree</t>
  </si>
  <si>
    <t>Audio</t>
  </si>
  <si>
    <t>Tree field background</t>
  </si>
  <si>
    <t>background-advice2-tree.webp</t>
  </si>
  <si>
    <t>Natural scene with sky, grass, tree and distant scenery; excludes Giulio and falling apple.</t>
  </si>
  <si>
    <t>Water splash</t>
  </si>
  <si>
    <t>water-splash-advice1.webp</t>
  </si>
  <si>
    <t>Main bucket splash effect.</t>
  </si>
  <si>
    <t>Foreground grass</t>
  </si>
  <si>
    <t>foreground-advice2-grass.webp</t>
  </si>
  <si>
    <t>Water droplets</t>
  </si>
  <si>
    <t>Foreground grass that can overlap Giulio and props.</t>
  </si>
  <si>
    <t>water-droplets-advice1.webp</t>
  </si>
  <si>
    <t>Voicelines</t>
  </si>
  <si>
    <t>Secondary water particles.</t>
  </si>
  <si>
    <t>Leaves layer</t>
  </si>
  <si>
    <t>Water dripping</t>
  </si>
  <si>
    <t>leaves-advice2.webp</t>
  </si>
  <si>
    <t>water-dripping-advice1.webp</t>
  </si>
  <si>
    <t>Separate leaves layer for environmental animation.</t>
  </si>
  <si>
    <t>Dripping effect during silent stare.</t>
  </si>
  <si>
    <t>Sand exit cloud</t>
  </si>
  <si>
    <t>Advice 3 - Computer</t>
  </si>
  <si>
    <t>sand-cloud-advice1.webp</t>
  </si>
  <si>
    <t>Computer room background</t>
  </si>
  <si>
    <t>Exit cloud when Giulio runs away.</t>
  </si>
  <si>
    <t>background-advice3-computer-room.webp</t>
  </si>
  <si>
    <t>Room with walls, floor, shelves and decoration; excludes Giulio and interactive desk props.</t>
  </si>
  <si>
    <t>Hanging apple</t>
  </si>
  <si>
    <t>apple-hanging-advice2.webp</t>
  </si>
  <si>
    <t>Playful sarcastic expression.</t>
  </si>
  <si>
    <t>Falling apple</t>
  </si>
  <si>
    <t>Dark room overlay</t>
  </si>
  <si>
    <t>apple-falling-advice2.webp</t>
  </si>
  <si>
    <t>overlay-advice3-dark-room.webp</t>
  </si>
  <si>
    <t>Apple state during falling animation.</t>
  </si>
  <si>
    <t>Dark overlay shown when the computer or lamp is switched off.</t>
  </si>
  <si>
    <t>Exhausted Giulio</t>
  </si>
  <si>
    <t>OVERALL</t>
  </si>
  <si>
    <t>giulio-exhausted.webp</t>
  </si>
  <si>
    <t>Apple on ground</t>
  </si>
  <si>
    <t>apple-ground-advice2.webp</t>
  </si>
  <si>
    <t>Used for groans and complaints about the job.</t>
  </si>
  <si>
    <t>Apple state after impact.</t>
  </si>
  <si>
    <t>Suspicious Giulio</t>
  </si>
  <si>
    <t>Monitor glow overlay</t>
  </si>
  <si>
    <t>giulio-suspicious.webp</t>
  </si>
  <si>
    <t>Apple basket</t>
  </si>
  <si>
    <t>overlay-advice3-monitor-glow.webp</t>
  </si>
  <si>
    <t>apple-basket-advice2.webp</t>
  </si>
  <si>
    <t>Used when the visitor repeatedly touches an object.</t>
  </si>
  <si>
    <t>Light overlay emitted by the powered monitor.</t>
  </si>
  <si>
    <t>Interactive basket of apples.</t>
  </si>
  <si>
    <t>Book closed</t>
  </si>
  <si>
    <t>Fourth-wall Giulio</t>
  </si>
  <si>
    <t>book-closed-advice2.webp</t>
  </si>
  <si>
    <t>giulio-fourth-wall.webp</t>
  </si>
  <si>
    <t>Closed book state.</t>
  </si>
  <si>
    <t>Giulio deliberately looks toward the visitor or imaginary camera.</t>
  </si>
  <si>
    <t>Embarrassed Giulio</t>
  </si>
  <si>
    <t>giulio-embarrassed.webp</t>
  </si>
  <si>
    <t>How to use: choose a Status from the dropdown, add notes, and use filters to focus on one page or priority.</t>
  </si>
  <si>
    <t>Book open</t>
  </si>
  <si>
    <t>book-open-advice2.webp</t>
  </si>
  <si>
    <t>Used after a failed theatrical line or awkward pause.</t>
  </si>
  <si>
    <t>Open book state.</t>
  </si>
  <si>
    <t>Meaning</t>
  </si>
  <si>
    <t>Exit-grin Giulio</t>
  </si>
  <si>
    <t>giulio-exit-grin.webp</t>
  </si>
  <si>
    <t>Bird idle</t>
  </si>
  <si>
    <t>File or recording has not been prepared.</t>
  </si>
  <si>
    <t>bird-idle-advice2.webp</t>
  </si>
  <si>
    <t>Energetic smile before Giulio escapes.</t>
  </si>
  <si>
    <t>Idle bird.</t>
  </si>
  <si>
    <t>Currently being drawn, recorded or edited.</t>
  </si>
  <si>
    <t>Giulio standing</t>
  </si>
  <si>
    <t>Final file is prepared and ready for the ZIP.</t>
  </si>
  <si>
    <t>giulio-standing.webp</t>
  </si>
  <si>
    <t>1536 x 2048 px, transparent .webp</t>
  </si>
  <si>
    <t>Neutral standing pose.</t>
  </si>
  <si>
    <t>Needs replacement</t>
  </si>
  <si>
    <t>A file exists but must be redone.</t>
  </si>
  <si>
    <t>Bird flying</t>
  </si>
  <si>
    <t>bird-flying-advice2.webp</t>
  </si>
  <si>
    <t>Can be omitted from the first build.</t>
  </si>
  <si>
    <t>Giulio presenting</t>
  </si>
  <si>
    <t>giulio-presenting.webp</t>
  </si>
  <si>
    <t>Flying bird state.</t>
  </si>
  <si>
    <t>Skip</t>
  </si>
  <si>
    <t>Intentionally excluded from the project.</t>
  </si>
  <si>
    <t>Dramatic open-arms presentation pose.</t>
  </si>
  <si>
    <t>Squirrel</t>
  </si>
  <si>
    <t>squirrel-advice2.webp</t>
  </si>
  <si>
    <t>Giulio pointing full-body</t>
  </si>
  <si>
    <t>giulio-pointing-full.webp</t>
  </si>
  <si>
    <t>Interactive squirrel.</t>
  </si>
  <si>
    <t>Full-body pointing pose.</t>
  </si>
  <si>
    <t>Picnic cloth</t>
  </si>
  <si>
    <t>picnic-cloth-advice2.webp</t>
  </si>
  <si>
    <t>Giulio facepalming</t>
  </si>
  <si>
    <t>giulio-facepalm.webp</t>
  </si>
  <si>
    <t>Environmental cloth beneath props.</t>
  </si>
  <si>
    <t>Reaction after repeated or absurd visitor interactions.</t>
  </si>
  <si>
    <t>Notebook</t>
  </si>
  <si>
    <t>notebook-advice2.webp</t>
  </si>
  <si>
    <t>Interactive notebook.</t>
  </si>
  <si>
    <t>Giulio groaning</t>
  </si>
  <si>
    <t>giulio-groaning.webp</t>
  </si>
  <si>
    <t>Exhausted or slumped pose.</t>
  </si>
  <si>
    <t>Pencil</t>
  </si>
  <si>
    <t>pencil-advice2.webp</t>
  </si>
  <si>
    <t>Small decorative pencil.</t>
  </si>
  <si>
    <t>Giulio running right</t>
  </si>
  <si>
    <t>giulio-running-right.webp</t>
  </si>
  <si>
    <t>2048 x 1536 px, transparent .webp</t>
  </si>
  <si>
    <t>Generic energetic exit toward the right.</t>
  </si>
  <si>
    <t>Leaf</t>
  </si>
  <si>
    <t>leaf-advice2.webp</t>
  </si>
  <si>
    <t>Reusable animated leaf.</t>
  </si>
  <si>
    <t>Giulio running left</t>
  </si>
  <si>
    <t>Flowers</t>
  </si>
  <si>
    <t>giulio-running-left.webp</t>
  </si>
  <si>
    <t>flowers-advice2.webp</t>
  </si>
  <si>
    <t>Generic energetic exit toward the left.</t>
  </si>
  <si>
    <t>Small interactive flower group.</t>
  </si>
  <si>
    <t>Apple impact burst</t>
  </si>
  <si>
    <t>Giulio jumping exit</t>
  </si>
  <si>
    <t>apple-impact-advice2.webp</t>
  </si>
  <si>
    <t>giulio-jumping-exit.webp</t>
  </si>
  <si>
    <t>Main impact effect.</t>
  </si>
  <si>
    <t>Generic jumping escape.</t>
  </si>
  <si>
    <t>Impact stars</t>
  </si>
  <si>
    <t>impact-stars-advice2.webp</t>
  </si>
  <si>
    <t>Sleeping on towel</t>
  </si>
  <si>
    <t>giulio-advice1-sleeping.webp</t>
  </si>
  <si>
    <t>Comic stars after impact.</t>
  </si>
  <si>
    <t>Initial sleeping or relaxing pose.</t>
  </si>
  <si>
    <t>Falling leaves effect</t>
  </si>
  <si>
    <t>falling-leaves-advice2.webp</t>
  </si>
  <si>
    <t>One eye open</t>
  </si>
  <si>
    <t>Leaves falling after tree interaction.</t>
  </si>
  <si>
    <t>giulio-advice1-eye-open.webp</t>
  </si>
  <si>
    <t>Giulio notices the visitor hovering over the bucket.</t>
  </si>
  <si>
    <t>Gravity diagram</t>
  </si>
  <si>
    <t>gravity-diagram-advice2.webp</t>
  </si>
  <si>
    <t>Theatrical Newton-style diagram.</t>
  </si>
  <si>
    <t>Being splashed</t>
  </si>
  <si>
    <t>Exit dust</t>
  </si>
  <si>
    <t>giulio-advice1-splashed.webp</t>
  </si>
  <si>
    <t>exit-dust-advice2.webp</t>
  </si>
  <si>
    <t>Exit cloud when Giulio escapes.</t>
  </si>
  <si>
    <t>Immediate water impact reaction.</t>
  </si>
  <si>
    <t>Desk</t>
  </si>
  <si>
    <t>Wet silent stare</t>
  </si>
  <si>
    <t>giulio-advice1-wet-stare.webp</t>
  </si>
  <si>
    <t>Soaked Giulio silently stares at the visitor.</t>
  </si>
  <si>
    <t>desk-advice3.webp</t>
  </si>
  <si>
    <t>Sitting annoyed</t>
  </si>
  <si>
    <t>1600 x 1200 px, transparent .webp</t>
  </si>
  <si>
    <t>giulio-advice1-sitting-annoyed.webp</t>
  </si>
  <si>
    <t>Main computer desk.</t>
  </si>
  <si>
    <t>Giulio sits upright and begins the sarcastic reaction.</t>
  </si>
  <si>
    <t>Pointing while wet</t>
  </si>
  <si>
    <t>giulio-advice1-pointing.webp</t>
  </si>
  <si>
    <t>Monitor on</t>
  </si>
  <si>
    <t>monitor-on-advice3.webp</t>
  </si>
  <si>
    <t>Giulio points at the visitor and nearly insults them.</t>
  </si>
  <si>
    <t>Powered monitor state.</t>
  </si>
  <si>
    <t>Advice realisation</t>
  </si>
  <si>
    <t>giulio-advice1-realisation.webp</t>
  </si>
  <si>
    <t>Sudden switch into advice role.</t>
  </si>
  <si>
    <t>Monitor off</t>
  </si>
  <si>
    <t>monitor-off-advice3.webp</t>
  </si>
  <si>
    <t>Powered-off monitor state.</t>
  </si>
  <si>
    <t>Wet theatrical pose</t>
  </si>
  <si>
    <t>giulio-advice1-theatrical.webp</t>
  </si>
  <si>
    <t>Dramatic advice presentation while still wet.</t>
  </si>
  <si>
    <t>Keyboard</t>
  </si>
  <si>
    <t>Advice finish</t>
  </si>
  <si>
    <t>keyboard-advice3.webp</t>
  </si>
  <si>
    <t>giulio-advice1-finish.webp</t>
  </si>
  <si>
    <t>Interactive keyboard.</t>
  </si>
  <si>
    <t>Proud pose after completing the advice.</t>
  </si>
  <si>
    <t>Running exit</t>
  </si>
  <si>
    <t>giulio-advice1-exit.webp</t>
  </si>
  <si>
    <t>Mouse</t>
  </si>
  <si>
    <t>Giulio runs away after noticing another bucket.</t>
  </si>
  <si>
    <t>mouse-advice3.webp</t>
  </si>
  <si>
    <t>Voicelines Checklist</t>
  </si>
  <si>
    <t>Audio Checklist</t>
  </si>
  <si>
    <t>Interactive mouse.</t>
  </si>
  <si>
    <t>Sleeping beneath tree</t>
  </si>
  <si>
    <t>giulio-advice2-sleeping.webp</t>
  </si>
  <si>
    <t>Initial sleeping pose.</t>
  </si>
  <si>
    <t>Charger connected</t>
  </si>
  <si>
    <t>charger-connected-advice3.webp</t>
  </si>
  <si>
    <t>Apple impact</t>
  </si>
  <si>
    <t>giulio-advice2-impact.webp</t>
  </si>
  <si>
    <t>Immediate reaction when the apple hits his head.</t>
  </si>
  <si>
    <t>Holding head</t>
  </si>
  <si>
    <t>Charger disconnected</t>
  </si>
  <si>
    <t>giulio-advice2-holding-head.webp</t>
  </si>
  <si>
    <t>charger-disconnected-advice3.webp</t>
  </si>
  <si>
    <t>Post-impact reaction.</t>
  </si>
  <si>
    <t>Charger state after activation.</t>
  </si>
  <si>
    <t>Dialogue box opening</t>
  </si>
  <si>
    <t>Ah.</t>
  </si>
  <si>
    <t>dialogue-open.mp3</t>
  </si>
  <si>
    <t>voice-shared-ah.mp3</t>
  </si>
  <si>
    <t>Apple stare</t>
  </si>
  <si>
    <t>.mp3</t>
  </si>
  <si>
    <t>giulio-advice2-apple-stare.webp</t>
  </si>
  <si>
    <t>Played when the dialogue box appears.</t>
  </si>
  <si>
    <t>Giulio spoken, .mp3</t>
  </si>
  <si>
    <t>Sudden realisation.</t>
  </si>
  <si>
    <t>Giulio silently looks at the apple and visitor.</t>
  </si>
  <si>
    <t>Charger cable</t>
  </si>
  <si>
    <t>charger-cable-advice3.webp</t>
  </si>
  <si>
    <t>Pointing with apple</t>
  </si>
  <si>
    <t>giulio-advice2-apple-pointing.webp</t>
  </si>
  <si>
    <t>Separate cable layer for unplugging animation.</t>
  </si>
  <si>
    <t>Dialogue advance</t>
  </si>
  <si>
    <t>Sarcastic confrontation with the visitor.</t>
  </si>
  <si>
    <t>dialogue-next.mp3</t>
  </si>
  <si>
    <t>Giusto. Il consiglio.</t>
  </si>
  <si>
    <t>voice-shared-consiglio.mp3</t>
  </si>
  <si>
    <t>Played when the next dialogue line appears.</t>
  </si>
  <si>
    <t>Preparing apple throw</t>
  </si>
  <si>
    <t>Giulio remembers his role.</t>
  </si>
  <si>
    <t>giulio-advice2-apple-throw.webp</t>
  </si>
  <si>
    <t>Giulio appears ready to throw the apple back.</t>
  </si>
  <si>
    <t>Lamp on</t>
  </si>
  <si>
    <t>lamp-on-advice3.webp</t>
  </si>
  <si>
    <t>800 x 1200 px, transparent .webp</t>
  </si>
  <si>
    <t>Button hover</t>
  </si>
  <si>
    <t>Powered lamp state.</t>
  </si>
  <si>
    <t>button-hover.mp3</t>
  </si>
  <si>
    <t>Questa parte dovrebbe essere molto più professionale.</t>
  </si>
  <si>
    <t>giulio-advice2-realisation.webp</t>
  </si>
  <si>
    <t>voice-shared-professionale.mp3</t>
  </si>
  <si>
    <t>Giulio remembers that he must deliver advice.</t>
  </si>
  <si>
    <t>Subtle interface hover sound.</t>
  </si>
  <si>
    <t>Fourth-wall comment.</t>
  </si>
  <si>
    <t>Apple theatrical pose</t>
  </si>
  <si>
    <t>Lamp off</t>
  </si>
  <si>
    <t>giulio-advice2-theatrical.webp</t>
  </si>
  <si>
    <t>lamp-off-advice3.webp</t>
  </si>
  <si>
    <t>Button click</t>
  </si>
  <si>
    <t>Dramatic advice presentation using the apple.</t>
  </si>
  <si>
    <t>Questa parte avrebbe dovuto avere della musica.</t>
  </si>
  <si>
    <t>button-click.mp3</t>
  </si>
  <si>
    <t>voice-shared-musica-mancante.mp3</t>
  </si>
  <si>
    <t>Powered-off lamp state.</t>
  </si>
  <si>
    <t>Button activation sound.</t>
  </si>
  <si>
    <t>Missing-music fallback.</t>
  </si>
  <si>
    <t>giulio-advice2-finish.webp</t>
  </si>
  <si>
    <t>Proud final pose.</t>
  </si>
  <si>
    <t>Giulio realisation sting</t>
  </si>
  <si>
    <t>Headphones</t>
  </si>
  <si>
    <t>giulio-realisation.mp3</t>
  </si>
  <si>
    <t>headphones-advice3.webp</t>
  </si>
  <si>
    <t>Immaginate qualcosa di molto drammatico.</t>
  </si>
  <si>
    <t>Tree escape</t>
  </si>
  <si>
    <t>Interactive headphones.</t>
  </si>
  <si>
    <t>voice-shared-immaginate-musica.mp3</t>
  </si>
  <si>
    <t>Short musical sting when Giulio remembers his role.</t>
  </si>
  <si>
    <t>giulio-advice2-exit.webp</t>
  </si>
  <si>
    <t>Giulio escapes behind the tree.</t>
  </si>
  <si>
    <t>Missing-music continuation.</t>
  </si>
  <si>
    <t>Coffee mug</t>
  </si>
  <si>
    <t>mug-advice3.webp</t>
  </si>
  <si>
    <t>Advice introduction sting</t>
  </si>
  <si>
    <t>Working at computer</t>
  </si>
  <si>
    <t>giulio-advice3-working.webp</t>
  </si>
  <si>
    <t>advice-introduction.mp3</t>
  </si>
  <si>
    <t>Interactive mug Giulio protects.</t>
  </si>
  <si>
    <t>Initial working pose.</t>
  </si>
  <si>
    <t>Theatrical sting before advice delivery.</t>
  </si>
  <si>
    <t>A quanto pare, la scenografia non è arrivata.</t>
  </si>
  <si>
    <t>voice-shared-scenografia-mancante.mp3</t>
  </si>
  <si>
    <t>Sticky note</t>
  </si>
  <si>
    <t>Typing</t>
  </si>
  <si>
    <t>sticky-note-advice3.webp</t>
  </si>
  <si>
    <t>Missing-background fallback.</t>
  </si>
  <si>
    <t>giulio-advice3-typing.webp</t>
  </si>
  <si>
    <t>Interactive fourth-wall joke prop.</t>
  </si>
  <si>
    <t>Optional typing animation pose.</t>
  </si>
  <si>
    <t>Advice conclusion sting</t>
  </si>
  <si>
    <t>advice-conclusion.mp3</t>
  </si>
  <si>
    <t>Fantastico. Sono stato sostituito da un segnaposto.</t>
  </si>
  <si>
    <t>Short musical conclusion after advice.</t>
  </si>
  <si>
    <t>Frozen after shutdown</t>
  </si>
  <si>
    <t>voice-shared-segnaposto.mp3</t>
  </si>
  <si>
    <t>giulio-advice3-frozen.webp</t>
  </si>
  <si>
    <t>Fan off</t>
  </si>
  <si>
    <t>fan-off-advice3.webp</t>
  </si>
  <si>
    <t>Immediate reaction when the computer shuts down.</t>
  </si>
  <si>
    <t>Missing-sprite fallback.</t>
  </si>
  <si>
    <t>Inactive fan state.</t>
  </si>
  <si>
    <t>Chair turn</t>
  </si>
  <si>
    <t>Giulio exit sting</t>
  </si>
  <si>
    <t>giulio-advice3-chair-turn.webp</t>
  </si>
  <si>
    <t>Fan on</t>
  </si>
  <si>
    <t>fan-on-advice3.webp</t>
  </si>
  <si>
    <t>Giulio slowly turns toward the visitor.</t>
  </si>
  <si>
    <t>giulio-exit.mp3</t>
  </si>
  <si>
    <t>Active fan state.</t>
  </si>
  <si>
    <t>Posso vedere il registro degli eventi, lo sai?</t>
  </si>
  <si>
    <t>Energetic exit sting.</t>
  </si>
  <si>
    <t>voice-shared-registro-eventi.mp3</t>
  </si>
  <si>
    <t>Silent stare from chair</t>
  </si>
  <si>
    <t>Office chair</t>
  </si>
  <si>
    <t>Repeated-click fourth-wall joke.</t>
  </si>
  <si>
    <t>giulio-advice3-silent-stare.webp</t>
  </si>
  <si>
    <t>chair-advice3.webp</t>
  </si>
  <si>
    <t>Giulio's chair and exit vehicle.</t>
  </si>
  <si>
    <t>Silent confrontation pose.</t>
  </si>
  <si>
    <t>Silent stare ambience</t>
  </si>
  <si>
    <t>Ti stai divertendo fin troppo.</t>
  </si>
  <si>
    <t>silent-stare.mp3</t>
  </si>
  <si>
    <t>voice-shared-divertendo.mp3</t>
  </si>
  <si>
    <t>Pointing and nearly swearing</t>
  </si>
  <si>
    <t>giulio-advice3-pointing.webp</t>
  </si>
  <si>
    <t>Notebook stack</t>
  </si>
  <si>
    <t>Low tension ambience under silent reactions.</t>
  </si>
  <si>
    <t>Repeated-click response.</t>
  </si>
  <si>
    <t>Giulio points at the visitor and nearly swears.</t>
  </si>
  <si>
    <t>notebooks-advice3.webp</t>
  </si>
  <si>
    <t>Decorative interactive notebooks.</t>
  </si>
  <si>
    <t>Beach background music</t>
  </si>
  <si>
    <t>Exhausted in chair</t>
  </si>
  <si>
    <t>L'oggetto ha già svolto la sua funzione narrativa.</t>
  </si>
  <si>
    <t>music-advice1-beach.mp3</t>
  </si>
  <si>
    <t>giulio-advice3-exhausted.webp</t>
  </si>
  <si>
    <t>Looping .mp3</t>
  </si>
  <si>
    <t>voice-shared-funzione-narrativa.mp3</t>
  </si>
  <si>
    <t>Human groan and tired complaint pose.</t>
  </si>
  <si>
    <t>Joyful and summery background music.</t>
  </si>
  <si>
    <t>Pen holder</t>
  </si>
  <si>
    <t>pen-holder-advice3.webp</t>
  </si>
  <si>
    <t>Advice-host transformation</t>
  </si>
  <si>
    <t>giulio-advice3-realisation.webp</t>
  </si>
  <si>
    <t>Decorative pen holder.</t>
  </si>
  <si>
    <t>Bucket shaking</t>
  </si>
  <si>
    <t>Sudden switch into advice-host mode.</t>
  </si>
  <si>
    <t>bucket-shake-advice1.mp3</t>
  </si>
  <si>
    <t>Bucket shaking before it tips.</t>
  </si>
  <si>
    <t>Provi ogni oggetto nella speranza di trovare altro dialogo?</t>
  </si>
  <si>
    <t>voice-shared-ogni-oggetto.mp3</t>
  </si>
  <si>
    <t>Power strip</t>
  </si>
  <si>
    <t>power-strip-advice3.webp</t>
  </si>
  <si>
    <t>Theatrical presenter</t>
  </si>
  <si>
    <t>giulio-advice3-theatrical.webp</t>
  </si>
  <si>
    <t>Fourth-wall response.</t>
  </si>
  <si>
    <t>Additional electrical prop.</t>
  </si>
  <si>
    <t>Bucket tipping</t>
  </si>
  <si>
    <t>Dramatic advice presentation.</t>
  </si>
  <si>
    <t>bucket-tip-advice1.mp3</t>
  </si>
  <si>
    <t>Bucket movement sound.</t>
  </si>
  <si>
    <t>Va bene. Hai trovato un'altra frase. Complimenti.</t>
  </si>
  <si>
    <t>Screen flicker</t>
  </si>
  <si>
    <t>giulio-advice3-finish.webp</t>
  </si>
  <si>
    <t>voice-shared-altra-frase.mp3</t>
  </si>
  <si>
    <t>screen-flicker-advice3.webp</t>
  </si>
  <si>
    <t>Monitor flicker effect.</t>
  </si>
  <si>
    <t>water-splash-advice1.mp3</t>
  </si>
  <si>
    <t>Chair exit</t>
  </si>
  <si>
    <t>Main water impact sound.</t>
  </si>
  <si>
    <t>giulio-advice3-chair-exit.webp</t>
  </si>
  <si>
    <t>Advice 1 - Beach / Main</t>
  </si>
  <si>
    <t>Giulio escapes while riding the office chair.</t>
  </si>
  <si>
    <t>Shutdown flash</t>
  </si>
  <si>
    <t>...</t>
  </si>
  <si>
    <t>shutdown-flash-advice3.webp</t>
  </si>
  <si>
    <t>No spoken audio</t>
  </si>
  <si>
    <t>Brief computer shutdown effect.</t>
  </si>
  <si>
    <t>Silent stare while water drips.</t>
  </si>
  <si>
    <t>water-dripping-advice1.mp3</t>
  </si>
  <si>
    <t>Dripping during silent stare.</t>
  </si>
  <si>
    <t>Electric pop</t>
  </si>
  <si>
    <t>Avevi un intero mare a disposizione.</t>
  </si>
  <si>
    <t>electric-pop-advice3.webp</t>
  </si>
  <si>
    <t>voice-advice1-main-01.mp3</t>
  </si>
  <si>
    <t>Electrical interruption near charger.</t>
  </si>
  <si>
    <t>Radio click</t>
  </si>
  <si>
    <t>Dry disbelief.</t>
  </si>
  <si>
    <t>radio-click-advice1.mp3</t>
  </si>
  <si>
    <t>Radio on/off interaction.</t>
  </si>
  <si>
    <t>Silent stare lines</t>
  </si>
  <si>
    <t>silent-stare-advice3.webp</t>
  </si>
  <si>
    <t>E hai deciso di portare l'acqua più vicino.</t>
  </si>
  <si>
    <t>voice-advice1-main-02.mp3</t>
  </si>
  <si>
    <t>Dramatic lines during silent stare.</t>
  </si>
  <si>
    <t>Radio static</t>
  </si>
  <si>
    <t>Stronger sarcasm.</t>
  </si>
  <si>
    <t>radio-static-advice1.mp3</t>
  </si>
  <si>
    <t>Radio transition/static sound.</t>
  </si>
  <si>
    <t>Presenter burst</t>
  </si>
  <si>
    <t>presenter-burst-advice3.webp</t>
  </si>
  <si>
    <t>1600 x 1600 px, transparent .webp</t>
  </si>
  <si>
    <t>Graphic burst during personality switch.</t>
  </si>
  <si>
    <t>Crab reaction</t>
  </si>
  <si>
    <t>crab-advice1.mp3</t>
  </si>
  <si>
    <t>Ma tu sei proprio un—</t>
  </si>
  <si>
    <t>Crab movement or claw sound.</t>
  </si>
  <si>
    <t>voice-advice1-main-03.mp3</t>
  </si>
  <si>
    <t>Chair trail</t>
  </si>
  <si>
    <t>Nearly insults the visitor.</t>
  </si>
  <si>
    <t>chair-trail-advice3.webp</t>
  </si>
  <si>
    <t>1600 x 1000 px, transparent .webp</t>
  </si>
  <si>
    <t>Movement trail during chair exit.</t>
  </si>
  <si>
    <t>Seagull call</t>
  </si>
  <si>
    <t>seagull-advice1.mp3</t>
  </si>
  <si>
    <t>Seagull entrance sound.</t>
  </si>
  <si>
    <t>voice-advice1-main-04.mp3</t>
  </si>
  <si>
    <t>Running on sand</t>
  </si>
  <si>
    <t>sand-running-advice1.mp3</t>
  </si>
  <si>
    <t>Giulio's exit across sand.</t>
  </si>
  <si>
    <t>Giusto. La pagina dei consigli.</t>
  </si>
  <si>
    <t>voice-advice1-main-05.mp3</t>
  </si>
  <si>
    <t>Remembers the page role.</t>
  </si>
  <si>
    <t>Tree background music</t>
  </si>
  <si>
    <t>music-advice2-tree.mp3</t>
  </si>
  <si>
    <t>Calm and playful natural background music.</t>
  </si>
  <si>
    <t>BENVENUTA, ANIMA ERRANTE!</t>
  </si>
  <si>
    <t>voice-advice1-main-06.mp3</t>
  </si>
  <si>
    <t>Flashy host transformation.</t>
  </si>
  <si>
    <t>Apple release</t>
  </si>
  <si>
    <t>apple-release-advice2.mp3</t>
  </si>
  <si>
    <t>Apple detaching from branch.</t>
  </si>
  <si>
    <t>Hai risvegliato il custode di una saggezza inestimabile!</t>
  </si>
  <si>
    <t>voice-advice1-main-07.mp3</t>
  </si>
  <si>
    <t>Theatrical declaration.</t>
  </si>
  <si>
    <t>Apple fall</t>
  </si>
  <si>
    <t>apple-fall-advice2.mp3</t>
  </si>
  <si>
    <t>Apple falling through air.</t>
  </si>
  <si>
    <t>E probabilmente gli hai anche procurato un raffreddore.</t>
  </si>
  <si>
    <t>voice-advice1-main-08.mp3</t>
  </si>
  <si>
    <t>Dry interruption.</t>
  </si>
  <si>
    <t>apple-impact-advice2.mp3</t>
  </si>
  <si>
    <t>Apple hitting Giulio.</t>
  </si>
  <si>
    <t>Ora ascolta attentamente!</t>
  </si>
  <si>
    <t>voice-advice1-main-09.mp3</t>
  </si>
  <si>
    <t>Bird chirp</t>
  </si>
  <si>
    <t>Introduces the advice.</t>
  </si>
  <si>
    <t>bird-advice2.mp3</t>
  </si>
  <si>
    <t>Bird interaction sound.</t>
  </si>
  <si>
    <t>Testo del primo consiglio.</t>
  </si>
  <si>
    <t>voice-advice1-advice-01.mp3</t>
  </si>
  <si>
    <t>Leaves movement</t>
  </si>
  <si>
    <t>Placeholder: replace with final advice.</t>
  </si>
  <si>
    <t>leaves-advice2.mp3</t>
  </si>
  <si>
    <t>Leaves moving in the wind.</t>
  </si>
  <si>
    <t>Testo del secondo consiglio.</t>
  </si>
  <si>
    <t>voice-advice1-advice-02.mp3</t>
  </si>
  <si>
    <t>Tree shake</t>
  </si>
  <si>
    <t>tree-shake-advice2.mp3</t>
  </si>
  <si>
    <t>Tree shaking sound.</t>
  </si>
  <si>
    <t>Testo del terzo consiglio.</t>
  </si>
  <si>
    <t>voice-advice1-advice-03.mp3</t>
  </si>
  <si>
    <t>Running through grass</t>
  </si>
  <si>
    <t>grass-running-advice2.mp3</t>
  </si>
  <si>
    <t>Giulio's exit through grass.</t>
  </si>
  <si>
    <t>Ed ecco fatto! L'illuminazione è stata raggiunta!</t>
  </si>
  <si>
    <t>voice-advice1-main-10.mp3</t>
  </si>
  <si>
    <t>Proud conclusion.</t>
  </si>
  <si>
    <t>Computer background music</t>
  </si>
  <si>
    <t>music-advice3-computer.mp3</t>
  </si>
  <si>
    <t>Energetic electronic background music.</t>
  </si>
  <si>
    <t>Me ne vado prima che tu scopra anche quell'altro secchio.</t>
  </si>
  <si>
    <t>voice-advice1-main-11.mp3</t>
  </si>
  <si>
    <t>Notices another bucket.</t>
  </si>
  <si>
    <t>Charger unplug</t>
  </si>
  <si>
    <t>charger-unplug-advice3.mp3</t>
  </si>
  <si>
    <t>Charger being removed.</t>
  </si>
  <si>
    <t>IL MIO LAVORO QUI È FINITO!</t>
  </si>
  <si>
    <t>voice-advice1-main-12.mp3</t>
  </si>
  <si>
    <t>Energetic exit.</t>
  </si>
  <si>
    <t>screen-flicker-advice3.mp3</t>
  </si>
  <si>
    <t>Advice 1 - Radio</t>
  </si>
  <si>
    <t>Monitor flickering.</t>
  </si>
  <si>
    <t>Naturalmente dovevi spegnerla.</t>
  </si>
  <si>
    <t>voice-advice1-radio-01.mp3</t>
  </si>
  <si>
    <t>Radio switched off.</t>
  </si>
  <si>
    <t>Computer shutdown</t>
  </si>
  <si>
    <t>computer-shutdown-advice3.mp3</t>
  </si>
  <si>
    <t>Computer turning off.</t>
  </si>
  <si>
    <t>Ecco. Atmosfera migliorata.</t>
  </si>
  <si>
    <t>voice-advice1-radio-02.mp3</t>
  </si>
  <si>
    <t>Sarcastic continuation.</t>
  </si>
  <si>
    <t>chair-turn-advice3.mp3</t>
  </si>
  <si>
    <t>Soltanto tu, io e le conseguenze delle tue decisioni.</t>
  </si>
  <si>
    <t>Chair slowly rotating.</t>
  </si>
  <si>
    <t>voice-advice1-radio-03.mp3</t>
  </si>
  <si>
    <t>Chair roll</t>
  </si>
  <si>
    <t>chair-roll-advice3.mp3</t>
  </si>
  <si>
    <t>Chair moving quickly during exit.</t>
  </si>
  <si>
    <t>Oh! Hai riconosciuto il tuo errore.</t>
  </si>
  <si>
    <t>voice-advice1-radio-04.mp3</t>
  </si>
  <si>
    <t>Radio switched back on.</t>
  </si>
  <si>
    <t>Keyboard typing</t>
  </si>
  <si>
    <t>keyboard-advice3.mp3</t>
  </si>
  <si>
    <t>Sviluppo del personaggio!</t>
  </si>
  <si>
    <t>voice-advice1-radio-05.mp3</t>
  </si>
  <si>
    <t>Keyboard interaction.</t>
  </si>
  <si>
    <t>Joyful fourth-wall joke.</t>
  </si>
  <si>
    <t>Lamp switch</t>
  </si>
  <si>
    <t>lamp-advice3.mp3</t>
  </si>
  <si>
    <t>Stai remixando il concetto di silenzio?</t>
  </si>
  <si>
    <t>Lamp on/off sound.</t>
  </si>
  <si>
    <t>voice-advice1-radio-06.mp3</t>
  </si>
  <si>
    <t>Repeated toggling.</t>
  </si>
  <si>
    <t>fan-on-advice3.mp3</t>
  </si>
  <si>
    <t>Fan activation.</t>
  </si>
  <si>
    <t>Scegli un'impostazione e mantienila.</t>
  </si>
  <si>
    <t>voice-advice1-radio-07.mp3</t>
  </si>
  <si>
    <t>fan-off-advice3.mp3</t>
  </si>
  <si>
    <t>Questo non è un rhythm game.</t>
  </si>
  <si>
    <t>voice-advice1-radio-08.mp3</t>
  </si>
  <si>
    <t>Fan stopping.</t>
  </si>
  <si>
    <t>Advice 1 - Umbrella</t>
  </si>
  <si>
    <t>Mug catch</t>
  </si>
  <si>
    <t>Eccellente.</t>
  </si>
  <si>
    <t>mug-catch-advice3.mp3</t>
  </si>
  <si>
    <t>voice-advice1-umbrella-01.mp3</t>
  </si>
  <si>
    <t>Giulio catching the mug.</t>
  </si>
  <si>
    <t>Umbrella moved.</t>
  </si>
  <si>
    <t>Hai sconfitto l'ombrellone.</t>
  </si>
  <si>
    <t>voice-advice1-umbrella-02.mp3</t>
  </si>
  <si>
    <t>Umbrella interaction.</t>
  </si>
  <si>
    <t>Il sole può riprendere il suo assalto.</t>
  </si>
  <si>
    <t>voice-advice1-umbrella-03.mp3</t>
  </si>
  <si>
    <t>Stai cercando di ruotare il clima?</t>
  </si>
  <si>
    <t>voice-advice1-umbrella-04.mp3</t>
  </si>
  <si>
    <t>Repeated umbrella interaction.</t>
  </si>
  <si>
    <t>Advice 1 - Cooler</t>
  </si>
  <si>
    <t>Aspetta. C'è qualcosa di utile lì dentro?</t>
  </si>
  <si>
    <t>voice-advice1-cooler-01.mp3</t>
  </si>
  <si>
    <t>Cooler opened.</t>
  </si>
  <si>
    <t>Un cubetto di ghiaccio.</t>
  </si>
  <si>
    <t>voice-advice1-cooler-02.mp3</t>
  </si>
  <si>
    <t>Cooler reveal.</t>
  </si>
  <si>
    <t>Un banchetto.</t>
  </si>
  <si>
    <t>voice-advice1-cooler-03.mp3</t>
  </si>
  <si>
    <t>Dry response.</t>
  </si>
  <si>
    <t>Non si è riprodotto dalla tua ultima ispezione.</t>
  </si>
  <si>
    <t>voice-advice1-cooler-04.mp3</t>
  </si>
  <si>
    <t>Repeated cooler interaction.</t>
  </si>
  <si>
    <t>Advice 1 - Crab</t>
  </si>
  <si>
    <t>Attenzione. È stato promosso alla sicurezza.</t>
  </si>
  <si>
    <t>voice-advice1-crab-01.mp3</t>
  </si>
  <si>
    <t>Crab clicked.</t>
  </si>
  <si>
    <t>A differenza mia, lui è legalmente autorizzato a pizzicarti.</t>
  </si>
  <si>
    <t>voice-advice1-crab-02.mp3</t>
  </si>
  <si>
    <t>Second crab interaction.</t>
  </si>
  <si>
    <t>Sta iniziando a rispettare la tua perseveranza.</t>
  </si>
  <si>
    <t>voice-advice1-crab-03.mp3</t>
  </si>
  <si>
    <t>Third crab interaction.</t>
  </si>
  <si>
    <t>Advice 1 - Beach ball</t>
  </si>
  <si>
    <t>Siamo a una cattiva decisione di distanza dallo sport.</t>
  </si>
  <si>
    <t>voice-advice1-ball-01.mp3</t>
  </si>
  <si>
    <t>Beach ball clicked.</t>
  </si>
  <si>
    <t>Non calciarla verso di me.</t>
  </si>
  <si>
    <t>voice-advice1-ball-02.mp3</t>
  </si>
  <si>
    <t>Second ball interaction.</t>
  </si>
  <si>
    <t>Hai sentito la frase e l'hai interpretata come una sfida.</t>
  </si>
  <si>
    <t>voice-advice1-ball-03.mp3</t>
  </si>
  <si>
    <t>Third ball interaction.</t>
  </si>
  <si>
    <t>Advice 1 - Seagull</t>
  </si>
  <si>
    <t>Quello era il mio pranzo.</t>
  </si>
  <si>
    <t>voice-advice1-seagull-01.mp3</t>
  </si>
  <si>
    <t>Seagull steals sandwich.</t>
  </si>
  <si>
    <t>A quanto pare, la saggezza richiede sacrifici.</t>
  </si>
  <si>
    <t>voice-advice1-seagull-02.mp3</t>
  </si>
  <si>
    <t>Continuation.</t>
  </si>
  <si>
    <t>Il panino è scomparso. Lascia che il dolore faccia il suo corso.</t>
  </si>
  <si>
    <t>voice-advice1-seagull-03.mp3</t>
  </si>
  <si>
    <t>Repeated interaction.</t>
  </si>
  <si>
    <t>Advice 2 - Tree / Main</t>
  </si>
  <si>
    <t>Giulio silently looks at the apple.</t>
  </si>
  <si>
    <t>Che cosa credevi sarebbe successo?</t>
  </si>
  <si>
    <t>voice-advice2-main-01.mp3</t>
  </si>
  <si>
    <t>Opening reaction.</t>
  </si>
  <si>
    <t>Che avrei improvvisamente calcolato la rotazione della Terra?</t>
  </si>
  <si>
    <t>voice-advice2-main-02.mp3</t>
  </si>
  <si>
    <t>Newton sarcasm.</t>
  </si>
  <si>
    <t>Potresti abituarti a parlare invece di colpirmi.</t>
  </si>
  <si>
    <t>voice-advice2-main-03.mp3</t>
  </si>
  <si>
    <t>Sarcastic complaint.</t>
  </si>
  <si>
    <t>Sono una persona, non una dimostrazione interattiva di fisica.</t>
  </si>
  <si>
    <t>voice-advice2-main-04.mp3</t>
  </si>
  <si>
    <t>Fourth-wall complaint.</t>
  </si>
  <si>
    <t>Aspetta.</t>
  </si>
  <si>
    <t>voice-advice2-main-05.mp3</t>
  </si>
  <si>
    <t>Switch begins.</t>
  </si>
  <si>
    <t>Il consiglio.</t>
  </si>
  <si>
    <t>voice-advice2-main-06.mp3</t>
  </si>
  <si>
    <t>Remembers role.</t>
  </si>
  <si>
    <t>ALLORA FORSE QUESTO FRUTTO NON È CADUTO INVANO!</t>
  </si>
  <si>
    <t>voice-advice2-main-07.mp3</t>
  </si>
  <si>
    <t>Flashy transformation.</t>
  </si>
  <si>
    <t>Poiché, così come la gravità attira questa mela verso la Terra, allo stesso modo—</t>
  </si>
  <si>
    <t>voice-advice2-main-08.mp3</t>
  </si>
  <si>
    <t>Dramatic metaphor attempt.</t>
  </si>
  <si>
    <t>No. Questa metafora è terribile.</t>
  </si>
  <si>
    <t>voice-advice2-main-09.mp3</t>
  </si>
  <si>
    <t>Self-interruption.</t>
  </si>
  <si>
    <t>Ricominciamo!</t>
  </si>
  <si>
    <t>voice-advice2-main-10.mp3</t>
  </si>
  <si>
    <t>Restart advice performance.</t>
  </si>
  <si>
    <t>voice-advice2-advice-01.mp3</t>
  </si>
  <si>
    <t>voice-advice2-advice-02.mp3</t>
  </si>
  <si>
    <t>voice-advice2-advice-03.mp3</t>
  </si>
  <si>
    <t>E così, la conoscenza fiorisce!</t>
  </si>
  <si>
    <t>voice-advice2-main-11.mp3</t>
  </si>
  <si>
    <t>Assolutamente no.</t>
  </si>
  <si>
    <t>voice-advice2-main-12.mp3</t>
  </si>
  <si>
    <t>Sees another apple.</t>
  </si>
  <si>
    <t>SCOPERTA COMPLETATA! ADDIO!</t>
  </si>
  <si>
    <t>voice-advice2-main-13.mp3</t>
  </si>
  <si>
    <t>Advice 2 - Book</t>
  </si>
  <si>
    <t>Oh, adesso siamo interessati alla lettura?</t>
  </si>
  <si>
    <t>voice-advice2-book-01.mp3</t>
  </si>
  <si>
    <t>Book opened.</t>
  </si>
  <si>
    <t>Un momento fa il tuo metodo d'insegnamento preferito era il trauma cranico.</t>
  </si>
  <si>
    <t>voice-advice2-book-02.mp3</t>
  </si>
  <si>
    <t>Book continuation.</t>
  </si>
  <si>
    <t>Voltare pagina non ti rende innocente.</t>
  </si>
  <si>
    <t>voice-advice2-book-03.mp3</t>
  </si>
  <si>
    <t>Repeated book interaction.</t>
  </si>
  <si>
    <t>Advice 2 - Bird</t>
  </si>
  <si>
    <t>Non coinvolgerlo.</t>
  </si>
  <si>
    <t>voice-advice2-bird-01.mp3</t>
  </si>
  <si>
    <t>Bird clicked.</t>
  </si>
  <si>
    <t>Pensa già che questa pagina manchi di direzione.</t>
  </si>
  <si>
    <t>voice-advice2-bird-02.mp3</t>
  </si>
  <si>
    <t>Bird continuation.</t>
  </si>
  <si>
    <t>Ha richiesto condizioni di lavoro migliori.</t>
  </si>
  <si>
    <t>voice-advice2-bird-03.mp3</t>
  </si>
  <si>
    <t>Repeated bird interaction.</t>
  </si>
  <si>
    <t>Advice 2 - Tree object</t>
  </si>
  <si>
    <t>Leaves fall onto Giulio.</t>
  </si>
  <si>
    <t>Adesso il tuo conflitto è con la natura?</t>
  </si>
  <si>
    <t>voice-advice2-tree-01.mp3</t>
  </si>
  <si>
    <t>Tree shaken.</t>
  </si>
  <si>
    <t>L'albero non possiede altri dialoghi.</t>
  </si>
  <si>
    <t>voice-advice2-tree-02.mp3</t>
  </si>
  <si>
    <t>Repeated tree interaction.</t>
  </si>
  <si>
    <t>Smettila di interrogarlo.</t>
  </si>
  <si>
    <t>voice-advice2-tree-03.mp3</t>
  </si>
  <si>
    <t>Advice 2 - Apple basket</t>
  </si>
  <si>
    <t>No.</t>
  </si>
  <si>
    <t>voice-advice2-basket-01.mp3</t>
  </si>
  <si>
    <t>Basket touched.</t>
  </si>
  <si>
    <t>Hai già condotto l'esperimento.</t>
  </si>
  <si>
    <t>voice-advice2-basket-02.mp3</t>
  </si>
  <si>
    <t>Second basket interaction.</t>
  </si>
  <si>
    <t>Le mele rimanenti sono sotto la mia protezione.</t>
  </si>
  <si>
    <t>voice-advice2-basket-03.mp3</t>
  </si>
  <si>
    <t>Third basket interaction.</t>
  </si>
  <si>
    <t>Advice 2 - Notebook</t>
  </si>
  <si>
    <t>Apprezzo l'illusione di studio.</t>
  </si>
  <si>
    <t>voice-advice2-notebook-01.mp3</t>
  </si>
  <si>
    <t>Notebook clicked.</t>
  </si>
  <si>
    <t>Scrivi che lanciare frutta contro le persone è sconsigliato.</t>
  </si>
  <si>
    <t>voice-advice2-notebook-02.mp3</t>
  </si>
  <si>
    <t>Notebook continuation.</t>
  </si>
  <si>
    <t>Advice 2 - Squirrel</t>
  </si>
  <si>
    <t>Ha visto tutto.</t>
  </si>
  <si>
    <t>voice-advice2-squirrel-01.mp3</t>
  </si>
  <si>
    <t>Squirrel clicked.</t>
  </si>
  <si>
    <t>Eppure, in qualche modo, sono io quello che viene giudicato.</t>
  </si>
  <si>
    <t>voice-advice2-squirrel-02.mp3</t>
  </si>
  <si>
    <t>Squirrel continuation.</t>
  </si>
  <si>
    <t>Advice 3 - Computer / Main</t>
  </si>
  <si>
    <t>Giulio slowly turns and stares.</t>
  </si>
  <si>
    <t>Vaffan—</t>
  </si>
  <si>
    <t>voice-advice3-main-01.mp3</t>
  </si>
  <si>
    <t>Nearly swears at visitor.</t>
  </si>
  <si>
    <t>Oh.</t>
  </si>
  <si>
    <t>voice-advice3-main-02.mp3</t>
  </si>
  <si>
    <t>Notices the page role.</t>
  </si>
  <si>
    <t>Questa è la pagina dei consigli.</t>
  </si>
  <si>
    <t>voice-advice3-main-03.mp3</t>
  </si>
  <si>
    <t>Fourth-wall recognition.</t>
  </si>
  <si>
    <t>Naturalmente.</t>
  </si>
  <si>
    <t>voice-advice3-main-04.mp3</t>
  </si>
  <si>
    <t>Dry acceptance.</t>
  </si>
  <si>
    <t>Ugh... questo lavoro sta diventando faticoso.</t>
  </si>
  <si>
    <t>voice-advice3-main-05.mp3</t>
  </si>
  <si>
    <t>Human groan.</t>
  </si>
  <si>
    <t>Tre pagine. Tre incidenti sul lavoro.</t>
  </si>
  <si>
    <t>voice-advice3-main-06.mp3</t>
  </si>
  <si>
    <t>Fourth-wall job complaint.</t>
  </si>
  <si>
    <t>MA NON IMPORTA!</t>
  </si>
  <si>
    <t>voice-advice3-main-07.mp3</t>
  </si>
  <si>
    <t>Anche senza tecnologia, la saggezza non ha bisogno di un caricatore!</t>
  </si>
  <si>
    <t>voice-advice3-main-08.mp3</t>
  </si>
  <si>
    <t>Suonava meglio nella mia testa.</t>
  </si>
  <si>
    <t>voice-advice3-main-09.mp3</t>
  </si>
  <si>
    <t>Self-aware interruption.</t>
  </si>
  <si>
    <t>Ma lo spettacolo deve continuare!</t>
  </si>
  <si>
    <t>voice-advice3-main-10.mp3</t>
  </si>
  <si>
    <t>Resumes performance.</t>
  </si>
  <si>
    <t>voice-advice3-advice-01.mp3</t>
  </si>
  <si>
    <t>voice-advice3-advice-02.mp3</t>
  </si>
  <si>
    <t>voice-advice3-advice-03.mp3</t>
  </si>
  <si>
    <t>Ecco fatto! Consiglio consegnato nonostante il sabotaggio tecnologico!</t>
  </si>
  <si>
    <t>voice-advice3-main-11.mp3</t>
  </si>
  <si>
    <t>Porterò questa sedia in un posto dove esiste l'elettricità.</t>
  </si>
  <si>
    <t>voice-advice3-main-12.mp3</t>
  </si>
  <si>
    <t>Prepares exit.</t>
  </si>
  <si>
    <t>PROBLEMA RISOLTO! PIÙ O MENO!</t>
  </si>
  <si>
    <t>voice-advice3-main-13.mp3</t>
  </si>
  <si>
    <t>Advice 3 - Lamp</t>
  </si>
  <si>
    <t>Sì. Eliminiamo anche la luce rimasta.</t>
  </si>
  <si>
    <t>voice-advice3-lamp-01.mp3</t>
  </si>
  <si>
    <t>Lamp switched off.</t>
  </si>
  <si>
    <t>Completiamo l'atmosfera.</t>
  </si>
  <si>
    <t>voice-advice3-lamp-02.mp3</t>
  </si>
  <si>
    <t>Lamp continuation.</t>
  </si>
  <si>
    <t>Ah! La civiltà ritorna.</t>
  </si>
  <si>
    <t>voice-advice3-lamp-03.mp3</t>
  </si>
  <si>
    <t>Lamp restored.</t>
  </si>
  <si>
    <t>Stai cercando di inviare un segnale?</t>
  </si>
  <si>
    <t>voice-advice3-lamp-04.mp3</t>
  </si>
  <si>
    <t>Repeated lamp interaction.</t>
  </si>
  <si>
    <t>Advice 3 - Headphones</t>
  </si>
  <si>
    <t>Non erano decorazioni.</t>
  </si>
  <si>
    <t>voice-advice3-headphones-01.mp3</t>
  </si>
  <si>
    <t>Headphones removed.</t>
  </si>
  <si>
    <t>Adesso riesco a sentire il sito.</t>
  </si>
  <si>
    <t>voice-advice3-headphones-02.mp3</t>
  </si>
  <si>
    <t>Fourth-wall continuation.</t>
  </si>
  <si>
    <t>Rimettili prima che l'interfaccia inizi a parlare.</t>
  </si>
  <si>
    <t>voice-advice3-headphones-03.mp3</t>
  </si>
  <si>
    <t>Advice 3 - Mug</t>
  </si>
  <si>
    <t>voice-advice3-mug-01.mp3</t>
  </si>
  <si>
    <t>Mug disturbed.</t>
  </si>
  <si>
    <t>Il computer è caduto.</t>
  </si>
  <si>
    <t>voice-advice3-mug-02.mp3</t>
  </si>
  <si>
    <t>Mug catch continuation.</t>
  </si>
  <si>
    <t>Il caffè sopravvive.</t>
  </si>
  <si>
    <t>voice-advice3-mug-03.mp3</t>
  </si>
  <si>
    <t>È l'ultimo sistema ancora funzionante nella stanza.</t>
  </si>
  <si>
    <t>voice-advice3-mug-04.mp3</t>
  </si>
  <si>
    <t>Repeated mug interaction.</t>
  </si>
  <si>
    <t>Advice 3 - Keyboard</t>
  </si>
  <si>
    <t>Straordinario.</t>
  </si>
  <si>
    <t>voice-advice3-keyboard-01.mp3</t>
  </si>
  <si>
    <t>Keyboard clicked while PC is off.</t>
  </si>
  <si>
    <t>È ancora scollegato.</t>
  </si>
  <si>
    <t>voice-advice3-keyboard-02.mp3</t>
  </si>
  <si>
    <t>Keyboard continuation.</t>
  </si>
  <si>
    <t>Premere più forte non genererà elettricità.</t>
  </si>
  <si>
    <t>voice-advice3-keyboard-03.mp3</t>
  </si>
  <si>
    <t>Repeated keyboard interaction.</t>
  </si>
  <si>
    <t>Advice 3 - Charger</t>
  </si>
  <si>
    <t>Abbiamo già concluso questo arco narrativo.</t>
  </si>
  <si>
    <t>voice-advice3-charger-01.mp3</t>
  </si>
  <si>
    <t>Charger clicked after main scene.</t>
  </si>
  <si>
    <t>Lascia stare il cavo.</t>
  </si>
  <si>
    <t>voice-advice3-charger-02.mp3</t>
  </si>
  <si>
    <t>Second post-scene click.</t>
  </si>
  <si>
    <t>Aggiungerò questa interazione al rapporto sull'incidente.</t>
  </si>
  <si>
    <t>voice-advice3-charger-03.mp3</t>
  </si>
  <si>
    <t>Third post-scene click.</t>
  </si>
  <si>
    <t>Advice 3 - Fan</t>
  </si>
  <si>
    <t>Finalmente. Qualcuno comprende il concetto di comodità.</t>
  </si>
  <si>
    <t>voice-advice3-fan-01.mp3</t>
  </si>
  <si>
    <t>Fan turned on.</t>
  </si>
  <si>
    <t>E immediatamente decide di portarmela via.</t>
  </si>
  <si>
    <t>voice-advice3-fan-02.mp3</t>
  </si>
  <si>
    <t>Fan turned off.</t>
  </si>
  <si>
    <t>Il ventilatore non è una decisione filosofica.</t>
  </si>
  <si>
    <t>voice-advice3-fan-03.mp3</t>
  </si>
  <si>
    <t>Repeated fan interaction.</t>
  </si>
  <si>
    <t>Advice 3 - Sticky note</t>
  </si>
  <si>
    <t>Quello era un importantissimo promemoria finto.</t>
  </si>
  <si>
    <t>voice-advice3-note-01.mp3</t>
  </si>
  <si>
    <t>Sticky note clicked.</t>
  </si>
  <si>
    <t>Dice: non scollegare il computer.</t>
  </si>
  <si>
    <t>voice-advice3-note-02.mp3</t>
  </si>
  <si>
    <t>Sticky note continuation.</t>
  </si>
  <si>
    <t>Interessante che tu l'abbia scoperto soltanto adesso.</t>
  </si>
  <si>
    <t>voice-advice3-note-03.mp3</t>
  </si>
  <si>
    <t>Repeated sticky-note interaction.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</si>
</sst>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1.0"/>
      <color rgb="FF000000"/>
      <name val="Carlito"/>
      <scheme val="minor"/>
    </font>
    <font>
      <b/>
      <sz val="18.0"/>
      <color rgb="FFFFFFFF"/>
      <name val="Carlito"/>
    </font>
    <font>
      <b/>
      <sz val="11.0"/>
      <color rgb="FFFFFFFF"/>
      <name val="Carlito"/>
    </font>
    <font>
      <sz val="11.0"/>
      <color theme="1"/>
      <name val="Carlito"/>
    </font>
    <font>
      <b/>
      <sz val="11.0"/>
      <color rgb="FF111111"/>
      <name val="Carlito"/>
    </font>
    <font>
      <i/>
      <sz val="11.0"/>
      <color rgb="FF333333"/>
      <name val="Carlito"/>
    </font>
  </fonts>
  <fills count="6">
    <fill>
      <patternFill patternType="none"/>
    </fill>
    <fill>
      <patternFill patternType="lightGray"/>
    </fill>
    <fill>
      <patternFill patternType="solid">
        <fgColor rgb="FFD71920"/>
        <bgColor rgb="FFD71920"/>
      </patternFill>
    </fill>
    <fill>
      <patternFill patternType="solid">
        <fgColor rgb="FF111111"/>
        <bgColor rgb="FF111111"/>
      </patternFill>
    </fill>
    <fill>
      <patternFill patternType="solid">
        <fgColor rgb="FFE7E7E7"/>
        <bgColor rgb="FFE7E7E7"/>
      </patternFill>
    </fill>
    <fill>
      <patternFill patternType="solid">
        <fgColor rgb="FFF4F4F4"/>
        <bgColor rgb="FFF4F4F4"/>
      </patternFill>
    </fill>
  </fills>
  <borders count="7">
    <border/>
    <border>
      <left/>
      <top/>
    </border>
    <border>
      <top/>
    </border>
    <border>
      <right/>
      <top/>
    </border>
    <border>
      <left/>
      <bottom/>
    </border>
    <border>
      <bottom/>
    </border>
    <border>
      <right/>
      <bottom/>
    </border>
  </borders>
  <cellStyleXfs count="1">
    <xf borderId="0" fillId="0" fontId="0" numFmtId="0" applyAlignment="1" applyFont="1"/>
  </cellStyleXfs>
  <cellXfs count="17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vertical="center"/>
    </xf>
    <xf borderId="1" fillId="3" fontId="2" numFmtId="0" xfId="0" applyAlignment="1" applyBorder="1" applyFill="1" applyFont="1">
      <alignment horizontal="center" readingOrder="0" shrinkToFit="0" vertical="center" wrapText="0"/>
    </xf>
    <xf borderId="2" fillId="3" fontId="2" numFmtId="0" xfId="0" applyAlignment="1" applyBorder="1" applyFont="1">
      <alignment horizontal="center" readingOrder="0" shrinkToFit="0" vertical="center" wrapText="0"/>
    </xf>
    <xf borderId="3" fillId="3" fontId="2" numFmtId="0" xfId="0" applyAlignment="1" applyBorder="1" applyFont="1">
      <alignment horizontal="center" readingOrder="0" shrinkToFit="0" vertical="center" wrapText="0"/>
    </xf>
    <xf borderId="0" fillId="0" fontId="3" numFmtId="0" xfId="0" applyAlignment="1" applyFont="1">
      <alignment readingOrder="0" shrinkToFit="0" vertical="center" wrapText="1"/>
    </xf>
    <xf borderId="0" fillId="0" fontId="3" numFmtId="0" xfId="0" applyAlignment="1" applyFont="1">
      <alignment shrinkToFit="0" vertical="center" wrapText="1"/>
    </xf>
    <xf borderId="0" fillId="2" fontId="1" numFmtId="0" xfId="0" applyAlignment="1" applyFont="1">
      <alignment horizontal="left" shrinkToFit="0" vertical="center" wrapText="1"/>
    </xf>
    <xf borderId="0" fillId="0" fontId="3" numFmtId="0" xfId="0" applyAlignment="1" applyFont="1">
      <alignment shrinkToFit="0" wrapText="1"/>
    </xf>
    <xf borderId="1" fillId="3" fontId="2" numFmtId="0" xfId="0" applyAlignment="1" applyBorder="1" applyFont="1">
      <alignment horizontal="center" shrinkToFit="0" vertical="center" wrapText="1"/>
    </xf>
    <xf borderId="2" fillId="3" fontId="2" numFmtId="0" xfId="0" applyAlignment="1" applyBorder="1" applyFont="1">
      <alignment horizontal="center" shrinkToFit="0" vertical="center" wrapText="1"/>
    </xf>
    <xf borderId="3" fillId="3" fontId="2" numFmtId="0" xfId="0" applyAlignment="1" applyBorder="1" applyFont="1">
      <alignment horizontal="center" shrinkToFit="0" vertical="center" wrapText="1"/>
    </xf>
    <xf borderId="0" fillId="0" fontId="3" numFmtId="9" xfId="0" applyAlignment="1" applyFont="1" applyNumberFormat="1">
      <alignment shrinkToFit="0" wrapText="1"/>
    </xf>
    <xf borderId="4" fillId="4" fontId="4" numFmtId="0" xfId="0" applyAlignment="1" applyBorder="1" applyFill="1" applyFont="1">
      <alignment horizontal="center" shrinkToFit="0" vertical="center" wrapText="1"/>
    </xf>
    <xf borderId="5" fillId="4" fontId="4" numFmtId="0" xfId="0" applyAlignment="1" applyBorder="1" applyFont="1">
      <alignment horizontal="center" shrinkToFit="0" vertical="center" wrapText="1"/>
    </xf>
    <xf borderId="6" fillId="4" fontId="4" numFmtId="9" xfId="0" applyAlignment="1" applyBorder="1" applyFont="1" applyNumberFormat="1">
      <alignment horizontal="center" shrinkToFit="0" vertical="center" wrapText="1"/>
    </xf>
    <xf borderId="0" fillId="5" fontId="5" numFmtId="0" xfId="0" applyAlignment="1" applyFill="1" applyFont="1">
      <alignment shrinkToFit="0" wrapText="1"/>
    </xf>
  </cellXfs>
  <cellStyles count="1">
    <cellStyle xfId="0" name="Normal" builtinId="0"/>
  </cellStyles>
  <dxfs count="10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b/>
        <color rgb="FF006100"/>
      </font>
      <fill>
        <patternFill patternType="solid">
          <fgColor rgb="FFC6EFCE"/>
          <bgColor rgb="FFC6EFCE"/>
        </patternFill>
      </fill>
      <border/>
    </dxf>
    <dxf>
      <font>
        <b/>
        <color rgb="FF9C6500"/>
      </font>
      <fill>
        <patternFill patternType="solid">
          <fgColor rgb="FFFFEB9C"/>
          <bgColor rgb="FFFFEB9C"/>
        </patternFill>
      </fill>
      <border/>
    </dxf>
    <dxf>
      <font>
        <b/>
        <color rgb="FF9C0006"/>
      </font>
      <fill>
        <patternFill patternType="solid">
          <fgColor rgb="FFFFC7CE"/>
          <bgColor rgb="FFFFC7CE"/>
        </patternFill>
      </fill>
      <border/>
    </dxf>
    <dxf>
      <font>
        <color rgb="FF1F4E78"/>
      </font>
      <fill>
        <patternFill patternType="solid">
          <fgColor rgb="FFD9EAF7"/>
          <bgColor rgb="FFD9EAF7"/>
        </patternFill>
      </fill>
      <border/>
    </dxf>
    <dxf>
      <font>
        <color rgb="FF666666"/>
      </font>
      <fill>
        <patternFill patternType="solid">
          <fgColor rgb="FFD9D9D9"/>
          <bgColor rgb="FFD9D9D9"/>
        </patternFill>
      </fill>
      <border/>
    </dxf>
  </dxfs>
  <tableStyles count="5">
    <tableStyle count="4" pivot="0" name="Giulio Sprite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Objects &amp; Effect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Background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Voiceline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Audio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0" Type="http://customschemas.google.com/relationships/workbookmetadata" Target="metadata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Assets Ready by Category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Total</c:v>
          </c:tx>
          <c:spPr>
            <a:solidFill>
              <a:schemeClr val="accent1"/>
            </a:solidFill>
            <a:ln cmpd="sng">
              <a:noFill/>
            </a:ln>
          </c:spPr>
          <c:cat>
            <c:strRef>
              <c:f>Dashboard!$A$4:$A$8</c:f>
            </c:strRef>
          </c:cat>
          <c:val>
            <c:numRef>
              <c:f>Dashboard!$B$4:$B$8</c:f>
              <c:numCache/>
            </c:numRef>
          </c:val>
        </c:ser>
        <c:ser>
          <c:idx val="1"/>
          <c:order val="1"/>
          <c:tx>
            <c:v>Ready</c:v>
          </c:tx>
          <c:spPr>
            <a:solidFill>
              <a:schemeClr val="accent2"/>
            </a:solidFill>
            <a:ln cmpd="sng">
              <a:noFill/>
            </a:ln>
          </c:spPr>
          <c:cat>
            <c:strRef>
              <c:f>Dashboard!$A$4:$A$8</c:f>
            </c:strRef>
          </c:cat>
          <c:val>
            <c:numRef>
              <c:f>Dashboard!$C$4:$C$8</c:f>
              <c:numCache/>
            </c:numRef>
          </c:val>
        </c:ser>
        <c:axId val="2007166337"/>
        <c:axId val="1680002337"/>
      </c:barChart>
      <c:catAx>
        <c:axId val="200716633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680002337"/>
      </c:catAx>
      <c:valAx>
        <c:axId val="168000233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2007166337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0</xdr:colOff>
      <xdr:row>2</xdr:row>
      <xdr:rowOff>0</xdr:rowOff>
    </xdr:from>
    <xdr:ext cx="4600575" cy="3200400"/>
    <xdr:graphicFrame>
      <xdr:nvGraphicFramePr>
        <xdr:cNvPr id="97495246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2:H11" displayName="BackgroundsTable" name="BackgroundsTable" id="3">
  <tableColumns count="8">
    <tableColumn name="Status" id="1"/>
    <tableColumn name="Page / Scene" id="2"/>
    <tableColumn name="Asset / Dialogue" id="3"/>
    <tableColumn name="Filename" id="4"/>
    <tableColumn name="Dimensions / Format" id="5"/>
    <tableColumn name="Purpose / Delivery" id="6"/>
    <tableColumn name="Priority" id="7"/>
    <tableColumn name="Notes" id="8"/>
  </tableColumns>
  <tableStyleInfo name="Backgrounds-style" showColumnStripes="0" showFirstColumn="1" showLastColumn="1" showRowStripes="1"/>
</table>
</file>

<file path=xl/tables/table2.xml><?xml version="1.0" encoding="utf-8"?>
<table xmlns="http://schemas.openxmlformats.org/spreadsheetml/2006/main" ref="A2:H59" displayName="GiulioSpritesTable" name="GiulioSpritesTable" id="1">
  <tableColumns count="8">
    <tableColumn name="Status" id="1"/>
    <tableColumn name="Page / Scene" id="2"/>
    <tableColumn name="Asset / Dialogue" id="3"/>
    <tableColumn name="Filename" id="4"/>
    <tableColumn name="Dimensions / Format" id="5"/>
    <tableColumn name="Purpose / Delivery" id="6"/>
    <tableColumn name="Priority" id="7"/>
    <tableColumn name="Notes" id="8"/>
  </tableColumns>
  <tableStyleInfo name="Giulio Sprites-style" showColumnStripes="0" showFirstColumn="1" showLastColumn="1" showRowStripes="1"/>
</table>
</file>

<file path=xl/tables/table3.xml><?xml version="1.0" encoding="utf-8"?>
<table xmlns="http://schemas.openxmlformats.org/spreadsheetml/2006/main" ref="A2:H64" displayName="ObjectsEffectsTable" name="ObjectsEffectsTable" id="2">
  <tableColumns count="8">
    <tableColumn name="Status" id="1"/>
    <tableColumn name="Page / Scene" id="2"/>
    <tableColumn name="Asset / Dialogue" id="3"/>
    <tableColumn name="Filename" id="4"/>
    <tableColumn name="Dimensions / Format" id="5"/>
    <tableColumn name="Purpose / Delivery" id="6"/>
    <tableColumn name="Priority" id="7"/>
    <tableColumn name="Notes" id="8"/>
  </tableColumns>
  <tableStyleInfo name="Objects &amp; Effects-style" showColumnStripes="0" showFirstColumn="1" showLastColumn="1" showRowStripes="1"/>
</table>
</file>

<file path=xl/tables/table4.xml><?xml version="1.0" encoding="utf-8"?>
<table xmlns="http://schemas.openxmlformats.org/spreadsheetml/2006/main" ref="A2:H40" displayName="AudioTable" name="AudioTable" id="4">
  <tableColumns count="8">
    <tableColumn name="Status" id="1"/>
    <tableColumn name="Page / Scene" id="2"/>
    <tableColumn name="Asset / Dialogue" id="3"/>
    <tableColumn name="Filename" id="4"/>
    <tableColumn name="Dimensions / Format" id="5"/>
    <tableColumn name="Purpose / Delivery" id="6"/>
    <tableColumn name="Priority" id="7"/>
    <tableColumn name="Notes" id="8"/>
  </tableColumns>
  <tableStyleInfo name="Audio-style" showColumnStripes="0" showFirstColumn="1" showLastColumn="1" showRowStripes="1"/>
</table>
</file>

<file path=xl/tables/table5.xml><?xml version="1.0" encoding="utf-8"?>
<table xmlns="http://schemas.openxmlformats.org/spreadsheetml/2006/main" ref="A2:H129" displayName="VoicelinesTable" name="VoicelinesTable" id="5">
  <tableColumns count="8">
    <tableColumn name="Status" id="1"/>
    <tableColumn name="Page / Scene" id="2"/>
    <tableColumn name="Asset / Dialogue" id="3"/>
    <tableColumn name="Filename" id="4"/>
    <tableColumn name="Dimensions / Format" id="5"/>
    <tableColumn name="Purpose / Delivery" id="6"/>
    <tableColumn name="Priority" id="7"/>
    <tableColumn name="Notes" id="8"/>
  </tableColumns>
  <tableStyleInfo name="Voiceline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3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4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5.0"/>
    <col customWidth="1" min="2" max="2" width="46.0"/>
    <col customWidth="1" min="3" max="6" width="17.0"/>
    <col customWidth="1" min="7" max="26" width="8.63"/>
  </cols>
  <sheetData>
    <row r="1">
      <c r="A1" s="7" t="s">
        <v>75</v>
      </c>
    </row>
    <row r="2">
      <c r="A2" s="8"/>
      <c r="B2" s="8"/>
      <c r="C2" s="8"/>
      <c r="D2" s="8"/>
      <c r="E2" s="8"/>
      <c r="F2" s="8"/>
      <c r="G2" s="8"/>
      <c r="H2" s="8"/>
    </row>
    <row r="3">
      <c r="A3" s="9" t="s">
        <v>81</v>
      </c>
      <c r="B3" s="10" t="s">
        <v>84</v>
      </c>
      <c r="C3" s="10" t="s">
        <v>10</v>
      </c>
      <c r="D3" s="10" t="s">
        <v>85</v>
      </c>
      <c r="E3" s="10" t="s">
        <v>86</v>
      </c>
      <c r="F3" s="11" t="s">
        <v>87</v>
      </c>
      <c r="G3" s="8"/>
      <c r="H3" s="8"/>
    </row>
    <row r="4">
      <c r="A4" s="8" t="s">
        <v>88</v>
      </c>
      <c r="B4" s="8">
        <f>COUNTA(Backgrounds!B3:B11)</f>
        <v>9</v>
      </c>
      <c r="C4" s="8">
        <f>COUNTIF(Backgrounds!A3:A11,"Ready")</f>
        <v>9</v>
      </c>
      <c r="D4" s="8">
        <f>COUNTIF(Backgrounds!A3:A11,"In progress")</f>
        <v>0</v>
      </c>
      <c r="E4" s="8">
        <f>COUNTIF(Backgrounds!A3:A11,"Not started")</f>
        <v>0</v>
      </c>
      <c r="F4" s="12">
        <f t="shared" ref="F4:F8" si="1">IF(B4=0,0,C4/B4)</f>
        <v>1</v>
      </c>
      <c r="G4" s="8"/>
      <c r="H4" s="8"/>
    </row>
    <row r="5">
      <c r="A5" s="8" t="s">
        <v>104</v>
      </c>
      <c r="B5" s="8">
        <f>COUNTA('Giulio Sprites'!B3:B59)</f>
        <v>57</v>
      </c>
      <c r="C5" s="8">
        <f>COUNTIF('Giulio Sprites'!A3:A59,"Ready")</f>
        <v>57</v>
      </c>
      <c r="D5" s="8">
        <f>COUNTIF('Giulio Sprites'!A3:A59,"In progress")</f>
        <v>0</v>
      </c>
      <c r="E5" s="8">
        <f>COUNTIF('Giulio Sprites'!A3:A59,"Not started")</f>
        <v>0</v>
      </c>
      <c r="F5" s="12">
        <f t="shared" si="1"/>
        <v>1</v>
      </c>
      <c r="G5" s="8"/>
      <c r="H5" s="8"/>
    </row>
    <row r="6">
      <c r="A6" s="8" t="s">
        <v>114</v>
      </c>
      <c r="B6" s="8">
        <f>COUNTA('Objects &amp; Effects'!B3:B64)</f>
        <v>62</v>
      </c>
      <c r="C6" s="8">
        <f>COUNTIF('Objects &amp; Effects'!A3:A64,"Ready")</f>
        <v>54</v>
      </c>
      <c r="D6" s="8">
        <f>COUNTIF('Objects &amp; Effects'!A3:A64,"In progress")</f>
        <v>0</v>
      </c>
      <c r="E6" s="8">
        <f>COUNTIF('Objects &amp; Effects'!A3:A64,"Not started")</f>
        <v>0</v>
      </c>
      <c r="F6" s="12">
        <f t="shared" si="1"/>
        <v>0.8709677419</v>
      </c>
      <c r="G6" s="8"/>
      <c r="H6" s="8"/>
    </row>
    <row r="7">
      <c r="A7" s="8" t="s">
        <v>123</v>
      </c>
      <c r="B7" s="8">
        <f>COUNTA(Audio!B3:B40)</f>
        <v>38</v>
      </c>
      <c r="C7" s="8">
        <f>COUNTIF(Audio!A3:A40,"Ready")</f>
        <v>0</v>
      </c>
      <c r="D7" s="8">
        <f>COUNTIF(Audio!A3:A40,"In progress")</f>
        <v>0</v>
      </c>
      <c r="E7" s="8">
        <f>COUNTIF(Audio!A3:A40,"Not started")</f>
        <v>38</v>
      </c>
      <c r="F7" s="12">
        <f t="shared" si="1"/>
        <v>0</v>
      </c>
      <c r="G7" s="8"/>
      <c r="H7" s="8"/>
    </row>
    <row r="8">
      <c r="A8" s="8" t="s">
        <v>135</v>
      </c>
      <c r="B8" s="8">
        <f>COUNTA(Voicelines!B3:B129)</f>
        <v>127</v>
      </c>
      <c r="C8" s="8">
        <f>COUNTIF(Voicelines!A3:A129,"Ready")</f>
        <v>0</v>
      </c>
      <c r="D8" s="8">
        <f>COUNTIF(Voicelines!A3:A129,"In progress")</f>
        <v>0</v>
      </c>
      <c r="E8" s="8">
        <f>COUNTIF(Voicelines!A3:A129,"Not started")</f>
        <v>127</v>
      </c>
      <c r="F8" s="12">
        <f t="shared" si="1"/>
        <v>0</v>
      </c>
      <c r="G8" s="8"/>
      <c r="H8" s="8"/>
    </row>
    <row r="9">
      <c r="A9" s="8"/>
      <c r="B9" s="8"/>
      <c r="C9" s="8"/>
      <c r="D9" s="8"/>
      <c r="E9" s="8"/>
      <c r="F9" s="12"/>
      <c r="G9" s="8"/>
      <c r="H9" s="8"/>
    </row>
    <row r="10">
      <c r="A10" s="13" t="s">
        <v>160</v>
      </c>
      <c r="B10" s="14">
        <f t="shared" ref="B10:E10" si="2">SUM(B4:B8)</f>
        <v>293</v>
      </c>
      <c r="C10" s="14">
        <f t="shared" si="2"/>
        <v>120</v>
      </c>
      <c r="D10" s="14">
        <f t="shared" si="2"/>
        <v>0</v>
      </c>
      <c r="E10" s="14">
        <f t="shared" si="2"/>
        <v>165</v>
      </c>
      <c r="F10" s="15">
        <f>IF(B10=0,0,C10/B10)</f>
        <v>0.409556314</v>
      </c>
      <c r="G10" s="8"/>
      <c r="H10" s="8"/>
    </row>
    <row r="11">
      <c r="A11" s="8"/>
      <c r="B11" s="8"/>
      <c r="C11" s="8"/>
      <c r="D11" s="8"/>
      <c r="E11" s="8"/>
      <c r="F11" s="8"/>
      <c r="G11" s="8"/>
      <c r="H11" s="8"/>
    </row>
    <row r="12">
      <c r="A12" s="16" t="s">
        <v>183</v>
      </c>
    </row>
    <row r="13">
      <c r="A13" s="8"/>
      <c r="B13" s="8"/>
      <c r="C13" s="8"/>
      <c r="D13" s="8"/>
      <c r="E13" s="8"/>
      <c r="F13" s="8"/>
      <c r="G13" s="8"/>
      <c r="H13" s="8"/>
    </row>
    <row r="14">
      <c r="A14" s="9" t="s">
        <v>2</v>
      </c>
      <c r="B14" s="11" t="s">
        <v>188</v>
      </c>
      <c r="C14" s="8"/>
      <c r="D14" s="8"/>
      <c r="E14" s="8"/>
      <c r="F14" s="8"/>
      <c r="G14" s="8"/>
      <c r="H14" s="8"/>
    </row>
    <row r="15">
      <c r="A15" s="8" t="s">
        <v>86</v>
      </c>
      <c r="B15" s="8" t="s">
        <v>192</v>
      </c>
      <c r="C15" s="8"/>
      <c r="D15" s="8"/>
      <c r="E15" s="8"/>
      <c r="F15" s="8"/>
      <c r="G15" s="8"/>
      <c r="H15" s="8"/>
    </row>
    <row r="16">
      <c r="A16" s="8" t="s">
        <v>85</v>
      </c>
      <c r="B16" s="8" t="s">
        <v>196</v>
      </c>
      <c r="C16" s="8"/>
      <c r="D16" s="8"/>
      <c r="E16" s="8"/>
      <c r="F16" s="8"/>
      <c r="G16" s="8"/>
      <c r="H16" s="8"/>
    </row>
    <row r="17">
      <c r="A17" s="8" t="s">
        <v>10</v>
      </c>
      <c r="B17" s="8" t="s">
        <v>198</v>
      </c>
      <c r="C17" s="8"/>
      <c r="D17" s="8"/>
      <c r="E17" s="8"/>
      <c r="F17" s="8"/>
      <c r="G17" s="8"/>
      <c r="H17" s="8"/>
    </row>
    <row r="18">
      <c r="A18" s="8" t="s">
        <v>202</v>
      </c>
      <c r="B18" s="8" t="s">
        <v>203</v>
      </c>
      <c r="C18" s="8"/>
      <c r="D18" s="8"/>
      <c r="E18" s="8"/>
      <c r="F18" s="8"/>
      <c r="G18" s="8"/>
      <c r="H18" s="8"/>
    </row>
    <row r="19">
      <c r="A19" s="8" t="s">
        <v>33</v>
      </c>
      <c r="B19" s="8" t="s">
        <v>206</v>
      </c>
      <c r="C19" s="8"/>
      <c r="D19" s="8"/>
      <c r="E19" s="8"/>
      <c r="F19" s="8"/>
      <c r="G19" s="8"/>
      <c r="H19" s="8"/>
    </row>
    <row r="20">
      <c r="A20" s="8" t="s">
        <v>210</v>
      </c>
      <c r="B20" s="8" t="s">
        <v>211</v>
      </c>
      <c r="C20" s="8"/>
      <c r="D20" s="8"/>
      <c r="E20" s="8"/>
      <c r="F20" s="8"/>
      <c r="G20" s="8"/>
      <c r="H20" s="8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12:H12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7.0"/>
    <col customWidth="1" min="2" max="2" width="25.0"/>
    <col customWidth="1" min="3" max="4" width="38.0"/>
    <col customWidth="1" min="5" max="5" width="30.0"/>
    <col customWidth="1" min="6" max="6" width="48.0"/>
    <col customWidth="1" min="7" max="7" width="15.0"/>
    <col customWidth="1" min="8" max="8" width="28.0"/>
    <col customWidth="1" min="9" max="26" width="8.63"/>
  </cols>
  <sheetData>
    <row r="1">
      <c r="A1" s="1" t="s">
        <v>82</v>
      </c>
    </row>
    <row r="2">
      <c r="A2" s="2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4" t="s">
        <v>9</v>
      </c>
    </row>
    <row r="3">
      <c r="A3" s="5" t="s">
        <v>10</v>
      </c>
      <c r="B3" s="6" t="s">
        <v>15</v>
      </c>
      <c r="C3" s="6" t="s">
        <v>99</v>
      </c>
      <c r="D3" s="6" t="s">
        <v>100</v>
      </c>
      <c r="E3" s="6" t="s">
        <v>102</v>
      </c>
      <c r="F3" s="6" t="s">
        <v>103</v>
      </c>
      <c r="G3" s="6" t="s">
        <v>22</v>
      </c>
      <c r="H3" s="6"/>
    </row>
    <row r="4">
      <c r="A4" s="5" t="s">
        <v>10</v>
      </c>
      <c r="B4" s="6" t="s">
        <v>15</v>
      </c>
      <c r="C4" s="6" t="s">
        <v>108</v>
      </c>
      <c r="D4" s="6" t="s">
        <v>109</v>
      </c>
      <c r="E4" s="6" t="s">
        <v>110</v>
      </c>
      <c r="F4" s="6" t="s">
        <v>111</v>
      </c>
      <c r="G4" s="6" t="s">
        <v>18</v>
      </c>
      <c r="H4" s="6"/>
    </row>
    <row r="5">
      <c r="A5" s="5" t="s">
        <v>10</v>
      </c>
      <c r="B5" s="6" t="s">
        <v>15</v>
      </c>
      <c r="C5" s="6" t="s">
        <v>115</v>
      </c>
      <c r="D5" s="6" t="s">
        <v>117</v>
      </c>
      <c r="E5" s="6" t="s">
        <v>118</v>
      </c>
      <c r="F5" s="6" t="s">
        <v>119</v>
      </c>
      <c r="G5" s="6" t="s">
        <v>33</v>
      </c>
      <c r="H5" s="6"/>
    </row>
    <row r="6">
      <c r="A6" s="5" t="s">
        <v>10</v>
      </c>
      <c r="B6" s="6" t="s">
        <v>122</v>
      </c>
      <c r="C6" s="6" t="s">
        <v>124</v>
      </c>
      <c r="D6" s="6" t="s">
        <v>125</v>
      </c>
      <c r="E6" s="6" t="s">
        <v>102</v>
      </c>
      <c r="F6" s="6" t="s">
        <v>126</v>
      </c>
      <c r="G6" s="6" t="s">
        <v>22</v>
      </c>
      <c r="H6" s="6"/>
    </row>
    <row r="7">
      <c r="A7" s="5" t="s">
        <v>10</v>
      </c>
      <c r="B7" s="6" t="s">
        <v>122</v>
      </c>
      <c r="C7" s="6" t="s">
        <v>130</v>
      </c>
      <c r="D7" s="6" t="s">
        <v>131</v>
      </c>
      <c r="E7" s="6" t="s">
        <v>110</v>
      </c>
      <c r="F7" s="6" t="s">
        <v>133</v>
      </c>
      <c r="G7" s="6" t="s">
        <v>18</v>
      </c>
      <c r="H7" s="6"/>
    </row>
    <row r="8">
      <c r="A8" s="5" t="s">
        <v>10</v>
      </c>
      <c r="B8" s="6" t="s">
        <v>122</v>
      </c>
      <c r="C8" s="6" t="s">
        <v>137</v>
      </c>
      <c r="D8" s="6" t="s">
        <v>139</v>
      </c>
      <c r="E8" s="6" t="s">
        <v>110</v>
      </c>
      <c r="F8" s="6" t="s">
        <v>141</v>
      </c>
      <c r="G8" s="6" t="s">
        <v>33</v>
      </c>
      <c r="H8" s="6"/>
    </row>
    <row r="9">
      <c r="A9" s="5" t="s">
        <v>10</v>
      </c>
      <c r="B9" s="6" t="s">
        <v>144</v>
      </c>
      <c r="C9" s="6" t="s">
        <v>146</v>
      </c>
      <c r="D9" s="6" t="s">
        <v>148</v>
      </c>
      <c r="E9" s="6" t="s">
        <v>102</v>
      </c>
      <c r="F9" s="6" t="s">
        <v>149</v>
      </c>
      <c r="G9" s="6" t="s">
        <v>22</v>
      </c>
      <c r="H9" s="6"/>
    </row>
    <row r="10">
      <c r="A10" s="5" t="s">
        <v>10</v>
      </c>
      <c r="B10" s="6" t="s">
        <v>144</v>
      </c>
      <c r="C10" s="6" t="s">
        <v>154</v>
      </c>
      <c r="D10" s="6" t="s">
        <v>156</v>
      </c>
      <c r="E10" s="6" t="s">
        <v>110</v>
      </c>
      <c r="F10" s="6" t="s">
        <v>158</v>
      </c>
      <c r="G10" s="6" t="s">
        <v>18</v>
      </c>
      <c r="H10" s="6"/>
    </row>
    <row r="11">
      <c r="A11" s="5" t="s">
        <v>10</v>
      </c>
      <c r="B11" s="6" t="s">
        <v>144</v>
      </c>
      <c r="C11" s="6" t="s">
        <v>167</v>
      </c>
      <c r="D11" s="6" t="s">
        <v>170</v>
      </c>
      <c r="E11" s="6" t="s">
        <v>110</v>
      </c>
      <c r="F11" s="6" t="s">
        <v>173</v>
      </c>
      <c r="G11" s="6" t="s">
        <v>33</v>
      </c>
      <c r="H11" s="6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H1"/>
  </mergeCells>
  <conditionalFormatting sqref="A3:A11">
    <cfRule type="expression" dxfId="5" priority="1">
      <formula>A3="Ready"</formula>
    </cfRule>
  </conditionalFormatting>
  <conditionalFormatting sqref="A3:A11">
    <cfRule type="expression" dxfId="6" priority="2">
      <formula>A3="In progress"</formula>
    </cfRule>
  </conditionalFormatting>
  <conditionalFormatting sqref="A3:A11">
    <cfRule type="expression" dxfId="7" priority="3">
      <formula>A3="Needs replacement"</formula>
    </cfRule>
  </conditionalFormatting>
  <conditionalFormatting sqref="A3:A11">
    <cfRule type="expression" dxfId="8" priority="4">
      <formula>A3="Optional"</formula>
    </cfRule>
  </conditionalFormatting>
  <conditionalFormatting sqref="A3:A11">
    <cfRule type="expression" dxfId="9" priority="5">
      <formula>A3="Skip"</formula>
    </cfRule>
  </conditionalFormatting>
  <dataValidations>
    <dataValidation type="list" allowBlank="1" sqref="A3:A11">
      <formula1>"Not started,In progress,Ready,Needs replacement,Optional,Skip"</formula1>
    </dataValidation>
    <dataValidation type="list" allowBlank="1" sqref="G3:G11">
      <formula1>"Core,Recommended,Optional"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7.0"/>
    <col customWidth="1" min="2" max="2" width="25.0"/>
    <col customWidth="1" min="3" max="4" width="38.0"/>
    <col customWidth="1" min="5" max="5" width="30.0"/>
    <col customWidth="1" min="6" max="6" width="48.0"/>
    <col customWidth="1" min="7" max="7" width="15.0"/>
    <col customWidth="1" min="8" max="8" width="28.0"/>
    <col customWidth="1" min="9" max="26" width="8.63"/>
  </cols>
  <sheetData>
    <row r="1">
      <c r="A1" s="1" t="s">
        <v>0</v>
      </c>
    </row>
    <row r="2">
      <c r="A2" s="2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4" t="s">
        <v>9</v>
      </c>
    </row>
    <row r="3">
      <c r="A3" s="5" t="s">
        <v>10</v>
      </c>
      <c r="B3" s="6" t="s">
        <v>11</v>
      </c>
      <c r="C3" s="6" t="s">
        <v>12</v>
      </c>
      <c r="D3" s="6" t="s">
        <v>13</v>
      </c>
      <c r="E3" s="6" t="s">
        <v>14</v>
      </c>
      <c r="F3" s="6" t="s">
        <v>16</v>
      </c>
      <c r="G3" s="6" t="s">
        <v>18</v>
      </c>
      <c r="H3" s="6"/>
    </row>
    <row r="4">
      <c r="A4" s="5" t="s">
        <v>10</v>
      </c>
      <c r="B4" s="6" t="s">
        <v>11</v>
      </c>
      <c r="C4" s="6" t="s">
        <v>23</v>
      </c>
      <c r="D4" s="6" t="s">
        <v>24</v>
      </c>
      <c r="E4" s="6" t="s">
        <v>14</v>
      </c>
      <c r="F4" s="6" t="s">
        <v>25</v>
      </c>
      <c r="G4" s="6" t="s">
        <v>22</v>
      </c>
      <c r="H4" s="6"/>
    </row>
    <row r="5">
      <c r="A5" s="5" t="s">
        <v>10</v>
      </c>
      <c r="B5" s="6" t="s">
        <v>11</v>
      </c>
      <c r="C5" s="6" t="s">
        <v>30</v>
      </c>
      <c r="D5" s="6" t="s">
        <v>31</v>
      </c>
      <c r="E5" s="6" t="s">
        <v>14</v>
      </c>
      <c r="F5" s="6" t="s">
        <v>32</v>
      </c>
      <c r="G5" s="6" t="s">
        <v>33</v>
      </c>
      <c r="H5" s="6"/>
    </row>
    <row r="6">
      <c r="A6" s="5" t="s">
        <v>10</v>
      </c>
      <c r="B6" s="6" t="s">
        <v>11</v>
      </c>
      <c r="C6" s="6" t="s">
        <v>36</v>
      </c>
      <c r="D6" s="6" t="s">
        <v>38</v>
      </c>
      <c r="E6" s="6" t="s">
        <v>14</v>
      </c>
      <c r="F6" s="6" t="s">
        <v>39</v>
      </c>
      <c r="G6" s="6" t="s">
        <v>22</v>
      </c>
      <c r="H6" s="6"/>
    </row>
    <row r="7">
      <c r="A7" s="5" t="s">
        <v>10</v>
      </c>
      <c r="B7" s="6" t="s">
        <v>11</v>
      </c>
      <c r="C7" s="6" t="s">
        <v>42</v>
      </c>
      <c r="D7" s="6" t="s">
        <v>44</v>
      </c>
      <c r="E7" s="6" t="s">
        <v>14</v>
      </c>
      <c r="F7" s="6" t="s">
        <v>46</v>
      </c>
      <c r="G7" s="6" t="s">
        <v>22</v>
      </c>
      <c r="H7" s="6"/>
    </row>
    <row r="8">
      <c r="A8" s="5" t="s">
        <v>10</v>
      </c>
      <c r="B8" s="6" t="s">
        <v>11</v>
      </c>
      <c r="C8" s="6" t="s">
        <v>47</v>
      </c>
      <c r="D8" s="6" t="s">
        <v>49</v>
      </c>
      <c r="E8" s="6" t="s">
        <v>14</v>
      </c>
      <c r="F8" s="6" t="s">
        <v>51</v>
      </c>
      <c r="G8" s="6" t="s">
        <v>18</v>
      </c>
      <c r="H8" s="6"/>
    </row>
    <row r="9">
      <c r="A9" s="5" t="s">
        <v>10</v>
      </c>
      <c r="B9" s="6" t="s">
        <v>11</v>
      </c>
      <c r="C9" s="6" t="s">
        <v>53</v>
      </c>
      <c r="D9" s="6" t="s">
        <v>54</v>
      </c>
      <c r="E9" s="6" t="s">
        <v>14</v>
      </c>
      <c r="F9" s="6" t="s">
        <v>56</v>
      </c>
      <c r="G9" s="6" t="s">
        <v>33</v>
      </c>
      <c r="H9" s="6"/>
    </row>
    <row r="10">
      <c r="A10" s="5" t="s">
        <v>10</v>
      </c>
      <c r="B10" s="6" t="s">
        <v>11</v>
      </c>
      <c r="C10" s="6" t="s">
        <v>59</v>
      </c>
      <c r="D10" s="6" t="s">
        <v>60</v>
      </c>
      <c r="E10" s="6" t="s">
        <v>14</v>
      </c>
      <c r="F10" s="6" t="s">
        <v>61</v>
      </c>
      <c r="G10" s="6" t="s">
        <v>22</v>
      </c>
      <c r="H10" s="6"/>
    </row>
    <row r="11">
      <c r="A11" s="5" t="s">
        <v>10</v>
      </c>
      <c r="B11" s="6" t="s">
        <v>11</v>
      </c>
      <c r="C11" s="6" t="s">
        <v>66</v>
      </c>
      <c r="D11" s="6" t="s">
        <v>67</v>
      </c>
      <c r="E11" s="6" t="s">
        <v>14</v>
      </c>
      <c r="F11" s="6" t="s">
        <v>68</v>
      </c>
      <c r="G11" s="6" t="s">
        <v>22</v>
      </c>
      <c r="H11" s="6"/>
    </row>
    <row r="12">
      <c r="A12" s="5" t="s">
        <v>10</v>
      </c>
      <c r="B12" s="6" t="s">
        <v>11</v>
      </c>
      <c r="C12" s="6" t="s">
        <v>71</v>
      </c>
      <c r="D12" s="6" t="s">
        <v>73</v>
      </c>
      <c r="E12" s="6" t="s">
        <v>14</v>
      </c>
      <c r="F12" s="6" t="s">
        <v>74</v>
      </c>
      <c r="G12" s="6" t="s">
        <v>22</v>
      </c>
      <c r="H12" s="6"/>
    </row>
    <row r="13">
      <c r="A13" s="5" t="s">
        <v>10</v>
      </c>
      <c r="B13" s="6" t="s">
        <v>11</v>
      </c>
      <c r="C13" s="6" t="s">
        <v>78</v>
      </c>
      <c r="D13" s="6" t="s">
        <v>79</v>
      </c>
      <c r="E13" s="6" t="s">
        <v>14</v>
      </c>
      <c r="F13" s="6" t="s">
        <v>83</v>
      </c>
      <c r="G13" s="6" t="s">
        <v>22</v>
      </c>
      <c r="H13" s="6"/>
    </row>
    <row r="14">
      <c r="A14" s="5" t="s">
        <v>10</v>
      </c>
      <c r="B14" s="6" t="s">
        <v>11</v>
      </c>
      <c r="C14" s="6" t="s">
        <v>90</v>
      </c>
      <c r="D14" s="6" t="s">
        <v>92</v>
      </c>
      <c r="E14" s="6" t="s">
        <v>14</v>
      </c>
      <c r="F14" s="6" t="s">
        <v>94</v>
      </c>
      <c r="G14" s="6" t="s">
        <v>18</v>
      </c>
      <c r="H14" s="6"/>
    </row>
    <row r="15">
      <c r="A15" s="5" t="s">
        <v>10</v>
      </c>
      <c r="B15" s="6" t="s">
        <v>11</v>
      </c>
      <c r="C15" s="6" t="s">
        <v>95</v>
      </c>
      <c r="D15" s="6" t="s">
        <v>96</v>
      </c>
      <c r="E15" s="6" t="s">
        <v>14</v>
      </c>
      <c r="F15" s="6" t="s">
        <v>152</v>
      </c>
      <c r="G15" s="6" t="s">
        <v>18</v>
      </c>
      <c r="H15" s="6"/>
    </row>
    <row r="16">
      <c r="A16" s="5" t="s">
        <v>10</v>
      </c>
      <c r="B16" s="6" t="s">
        <v>11</v>
      </c>
      <c r="C16" s="6" t="s">
        <v>159</v>
      </c>
      <c r="D16" s="6" t="s">
        <v>161</v>
      </c>
      <c r="E16" s="6" t="s">
        <v>14</v>
      </c>
      <c r="F16" s="6" t="s">
        <v>164</v>
      </c>
      <c r="G16" s="6" t="s">
        <v>22</v>
      </c>
      <c r="H16" s="6"/>
    </row>
    <row r="17">
      <c r="A17" s="5" t="s">
        <v>10</v>
      </c>
      <c r="B17" s="6" t="s">
        <v>11</v>
      </c>
      <c r="C17" s="6" t="s">
        <v>166</v>
      </c>
      <c r="D17" s="6" t="s">
        <v>168</v>
      </c>
      <c r="E17" s="6" t="s">
        <v>14</v>
      </c>
      <c r="F17" s="6" t="s">
        <v>172</v>
      </c>
      <c r="G17" s="6" t="s">
        <v>18</v>
      </c>
      <c r="H17" s="6"/>
    </row>
    <row r="18">
      <c r="A18" s="5" t="s">
        <v>10</v>
      </c>
      <c r="B18" s="6" t="s">
        <v>11</v>
      </c>
      <c r="C18" s="6" t="s">
        <v>176</v>
      </c>
      <c r="D18" s="6" t="s">
        <v>178</v>
      </c>
      <c r="E18" s="6" t="s">
        <v>14</v>
      </c>
      <c r="F18" s="6" t="s">
        <v>180</v>
      </c>
      <c r="G18" s="6" t="s">
        <v>22</v>
      </c>
      <c r="H18" s="6"/>
    </row>
    <row r="19">
      <c r="A19" s="5" t="s">
        <v>10</v>
      </c>
      <c r="B19" s="6" t="s">
        <v>11</v>
      </c>
      <c r="C19" s="6" t="s">
        <v>181</v>
      </c>
      <c r="D19" s="6" t="s">
        <v>182</v>
      </c>
      <c r="E19" s="6" t="s">
        <v>14</v>
      </c>
      <c r="F19" s="6" t="s">
        <v>186</v>
      </c>
      <c r="G19" s="6" t="s">
        <v>33</v>
      </c>
      <c r="H19" s="6"/>
    </row>
    <row r="20">
      <c r="A20" s="5" t="s">
        <v>10</v>
      </c>
      <c r="B20" s="6" t="s">
        <v>11</v>
      </c>
      <c r="C20" s="6" t="s">
        <v>189</v>
      </c>
      <c r="D20" s="6" t="s">
        <v>190</v>
      </c>
      <c r="E20" s="6" t="s">
        <v>14</v>
      </c>
      <c r="F20" s="6" t="s">
        <v>194</v>
      </c>
      <c r="G20" s="6" t="s">
        <v>18</v>
      </c>
      <c r="H20" s="6"/>
    </row>
    <row r="21" ht="15.75" customHeight="1">
      <c r="A21" s="5" t="s">
        <v>10</v>
      </c>
      <c r="B21" s="6" t="s">
        <v>11</v>
      </c>
      <c r="C21" s="6" t="s">
        <v>197</v>
      </c>
      <c r="D21" s="6" t="s">
        <v>199</v>
      </c>
      <c r="E21" s="6" t="s">
        <v>200</v>
      </c>
      <c r="F21" s="6" t="s">
        <v>201</v>
      </c>
      <c r="G21" s="6" t="s">
        <v>18</v>
      </c>
      <c r="H21" s="6"/>
    </row>
    <row r="22" ht="15.75" customHeight="1">
      <c r="A22" s="5" t="s">
        <v>10</v>
      </c>
      <c r="B22" s="6" t="s">
        <v>11</v>
      </c>
      <c r="C22" s="6" t="s">
        <v>207</v>
      </c>
      <c r="D22" s="6" t="s">
        <v>208</v>
      </c>
      <c r="E22" s="6" t="s">
        <v>200</v>
      </c>
      <c r="F22" s="6" t="s">
        <v>212</v>
      </c>
      <c r="G22" s="6" t="s">
        <v>22</v>
      </c>
      <c r="H22" s="6"/>
    </row>
    <row r="23" ht="15.75" customHeight="1">
      <c r="A23" s="5" t="s">
        <v>10</v>
      </c>
      <c r="B23" s="6" t="s">
        <v>11</v>
      </c>
      <c r="C23" s="6" t="s">
        <v>215</v>
      </c>
      <c r="D23" s="6" t="s">
        <v>216</v>
      </c>
      <c r="E23" s="6" t="s">
        <v>200</v>
      </c>
      <c r="F23" s="6" t="s">
        <v>218</v>
      </c>
      <c r="G23" s="6" t="s">
        <v>18</v>
      </c>
      <c r="H23" s="6"/>
    </row>
    <row r="24" ht="15.75" customHeight="1">
      <c r="A24" s="5" t="s">
        <v>10</v>
      </c>
      <c r="B24" s="6" t="s">
        <v>11</v>
      </c>
      <c r="C24" s="6" t="s">
        <v>221</v>
      </c>
      <c r="D24" s="6" t="s">
        <v>222</v>
      </c>
      <c r="E24" s="6" t="s">
        <v>200</v>
      </c>
      <c r="F24" s="6" t="s">
        <v>224</v>
      </c>
      <c r="G24" s="6" t="s">
        <v>33</v>
      </c>
      <c r="H24" s="6"/>
    </row>
    <row r="25" ht="15.75" customHeight="1">
      <c r="A25" s="5" t="s">
        <v>10</v>
      </c>
      <c r="B25" s="6" t="s">
        <v>11</v>
      </c>
      <c r="C25" s="6" t="s">
        <v>228</v>
      </c>
      <c r="D25" s="6" t="s">
        <v>229</v>
      </c>
      <c r="E25" s="6" t="s">
        <v>200</v>
      </c>
      <c r="F25" s="6" t="s">
        <v>230</v>
      </c>
      <c r="G25" s="6" t="s">
        <v>18</v>
      </c>
      <c r="H25" s="6"/>
    </row>
    <row r="26" ht="15.75" customHeight="1">
      <c r="A26" s="5" t="s">
        <v>10</v>
      </c>
      <c r="B26" s="6" t="s">
        <v>11</v>
      </c>
      <c r="C26" s="6" t="s">
        <v>234</v>
      </c>
      <c r="D26" s="6" t="s">
        <v>235</v>
      </c>
      <c r="E26" s="6" t="s">
        <v>236</v>
      </c>
      <c r="F26" s="6" t="s">
        <v>237</v>
      </c>
      <c r="G26" s="6" t="s">
        <v>18</v>
      </c>
      <c r="H26" s="6"/>
    </row>
    <row r="27" ht="15.75" customHeight="1">
      <c r="A27" s="5" t="s">
        <v>10</v>
      </c>
      <c r="B27" s="6" t="s">
        <v>11</v>
      </c>
      <c r="C27" s="6" t="s">
        <v>241</v>
      </c>
      <c r="D27" s="6" t="s">
        <v>243</v>
      </c>
      <c r="E27" s="6" t="s">
        <v>236</v>
      </c>
      <c r="F27" s="6" t="s">
        <v>245</v>
      </c>
      <c r="G27" s="6" t="s">
        <v>33</v>
      </c>
      <c r="H27" s="6"/>
    </row>
    <row r="28" ht="15.75" customHeight="1">
      <c r="A28" s="5" t="s">
        <v>10</v>
      </c>
      <c r="B28" s="6" t="s">
        <v>11</v>
      </c>
      <c r="C28" s="6" t="s">
        <v>248</v>
      </c>
      <c r="D28" s="6" t="s">
        <v>250</v>
      </c>
      <c r="E28" s="6" t="s">
        <v>236</v>
      </c>
      <c r="F28" s="6" t="s">
        <v>252</v>
      </c>
      <c r="G28" s="6" t="s">
        <v>33</v>
      </c>
      <c r="H28" s="6"/>
    </row>
    <row r="29" ht="15.75" customHeight="1">
      <c r="A29" s="5" t="s">
        <v>10</v>
      </c>
      <c r="B29" s="6" t="s">
        <v>15</v>
      </c>
      <c r="C29" s="6" t="s">
        <v>255</v>
      </c>
      <c r="D29" s="6" t="s">
        <v>256</v>
      </c>
      <c r="E29" s="6" t="s">
        <v>236</v>
      </c>
      <c r="F29" s="6" t="s">
        <v>258</v>
      </c>
      <c r="G29" s="6" t="s">
        <v>22</v>
      </c>
      <c r="H29" s="6"/>
    </row>
    <row r="30" ht="15.75" customHeight="1">
      <c r="A30" s="5" t="s">
        <v>10</v>
      </c>
      <c r="B30" s="6" t="s">
        <v>15</v>
      </c>
      <c r="C30" s="6" t="s">
        <v>261</v>
      </c>
      <c r="D30" s="6" t="s">
        <v>263</v>
      </c>
      <c r="E30" s="6" t="s">
        <v>236</v>
      </c>
      <c r="F30" s="6" t="s">
        <v>264</v>
      </c>
      <c r="G30" s="6" t="s">
        <v>18</v>
      </c>
      <c r="H30" s="6"/>
    </row>
    <row r="31" ht="15.75" customHeight="1">
      <c r="A31" s="5" t="s">
        <v>10</v>
      </c>
      <c r="B31" s="6" t="s">
        <v>15</v>
      </c>
      <c r="C31" s="6" t="s">
        <v>268</v>
      </c>
      <c r="D31" s="6" t="s">
        <v>270</v>
      </c>
      <c r="E31" s="6" t="s">
        <v>236</v>
      </c>
      <c r="F31" s="6" t="s">
        <v>273</v>
      </c>
      <c r="G31" s="6" t="s">
        <v>22</v>
      </c>
      <c r="H31" s="6"/>
    </row>
    <row r="32" ht="15.75" customHeight="1">
      <c r="A32" s="5" t="s">
        <v>10</v>
      </c>
      <c r="B32" s="6" t="s">
        <v>15</v>
      </c>
      <c r="C32" s="6" t="s">
        <v>275</v>
      </c>
      <c r="D32" s="6" t="s">
        <v>276</v>
      </c>
      <c r="E32" s="6" t="s">
        <v>236</v>
      </c>
      <c r="F32" s="6" t="s">
        <v>277</v>
      </c>
      <c r="G32" s="6" t="s">
        <v>22</v>
      </c>
      <c r="H32" s="6"/>
    </row>
    <row r="33" ht="15.75" customHeight="1">
      <c r="A33" s="5" t="s">
        <v>10</v>
      </c>
      <c r="B33" s="6" t="s">
        <v>15</v>
      </c>
      <c r="C33" s="6" t="s">
        <v>279</v>
      </c>
      <c r="D33" s="6" t="s">
        <v>281</v>
      </c>
      <c r="E33" s="6" t="s">
        <v>236</v>
      </c>
      <c r="F33" s="6" t="s">
        <v>283</v>
      </c>
      <c r="G33" s="6" t="s">
        <v>18</v>
      </c>
      <c r="H33" s="6"/>
    </row>
    <row r="34" ht="15.75" customHeight="1">
      <c r="A34" s="5" t="s">
        <v>10</v>
      </c>
      <c r="B34" s="6" t="s">
        <v>15</v>
      </c>
      <c r="C34" s="6" t="s">
        <v>284</v>
      </c>
      <c r="D34" s="6" t="s">
        <v>285</v>
      </c>
      <c r="E34" s="6" t="s">
        <v>200</v>
      </c>
      <c r="F34" s="6" t="s">
        <v>288</v>
      </c>
      <c r="G34" s="6" t="s">
        <v>22</v>
      </c>
      <c r="H34" s="6"/>
    </row>
    <row r="35" ht="15.75" customHeight="1">
      <c r="A35" s="5" t="s">
        <v>10</v>
      </c>
      <c r="B35" s="6" t="s">
        <v>15</v>
      </c>
      <c r="C35" s="6" t="s">
        <v>290</v>
      </c>
      <c r="D35" s="6" t="s">
        <v>291</v>
      </c>
      <c r="E35" s="6" t="s">
        <v>200</v>
      </c>
      <c r="F35" s="6" t="s">
        <v>292</v>
      </c>
      <c r="G35" s="6" t="s">
        <v>22</v>
      </c>
      <c r="H35" s="6"/>
    </row>
    <row r="36" ht="15.75" customHeight="1">
      <c r="A36" s="5" t="s">
        <v>10</v>
      </c>
      <c r="B36" s="6" t="s">
        <v>15</v>
      </c>
      <c r="C36" s="6" t="s">
        <v>296</v>
      </c>
      <c r="D36" s="6" t="s">
        <v>297</v>
      </c>
      <c r="E36" s="6" t="s">
        <v>200</v>
      </c>
      <c r="F36" s="6" t="s">
        <v>298</v>
      </c>
      <c r="G36" s="6" t="s">
        <v>22</v>
      </c>
      <c r="H36" s="6"/>
    </row>
    <row r="37" ht="15.75" customHeight="1">
      <c r="A37" s="5" t="s">
        <v>10</v>
      </c>
      <c r="B37" s="6" t="s">
        <v>15</v>
      </c>
      <c r="C37" s="6" t="s">
        <v>300</v>
      </c>
      <c r="D37" s="6" t="s">
        <v>302</v>
      </c>
      <c r="E37" s="6" t="s">
        <v>200</v>
      </c>
      <c r="F37" s="6" t="s">
        <v>304</v>
      </c>
      <c r="G37" s="6" t="s">
        <v>18</v>
      </c>
      <c r="H37" s="6"/>
    </row>
    <row r="38" ht="15.75" customHeight="1">
      <c r="A38" s="5" t="s">
        <v>10</v>
      </c>
      <c r="B38" s="6" t="s">
        <v>15</v>
      </c>
      <c r="C38" s="6" t="s">
        <v>305</v>
      </c>
      <c r="D38" s="6" t="s">
        <v>306</v>
      </c>
      <c r="E38" s="6" t="s">
        <v>236</v>
      </c>
      <c r="F38" s="6" t="s">
        <v>308</v>
      </c>
      <c r="G38" s="6" t="s">
        <v>22</v>
      </c>
      <c r="H38" s="6"/>
    </row>
    <row r="39" ht="15.75" customHeight="1">
      <c r="A39" s="5" t="s">
        <v>10</v>
      </c>
      <c r="B39" s="6" t="s">
        <v>122</v>
      </c>
      <c r="C39" s="6" t="s">
        <v>313</v>
      </c>
      <c r="D39" s="6" t="s">
        <v>314</v>
      </c>
      <c r="E39" s="6" t="s">
        <v>236</v>
      </c>
      <c r="F39" s="6" t="s">
        <v>315</v>
      </c>
      <c r="G39" s="6" t="s">
        <v>22</v>
      </c>
      <c r="H39" s="6"/>
    </row>
    <row r="40" ht="15.75" customHeight="1">
      <c r="A40" s="5" t="s">
        <v>10</v>
      </c>
      <c r="B40" s="6" t="s">
        <v>122</v>
      </c>
      <c r="C40" s="6" t="s">
        <v>318</v>
      </c>
      <c r="D40" s="6" t="s">
        <v>319</v>
      </c>
      <c r="E40" s="6" t="s">
        <v>236</v>
      </c>
      <c r="F40" s="6" t="s">
        <v>320</v>
      </c>
      <c r="G40" s="6" t="s">
        <v>22</v>
      </c>
      <c r="H40" s="6"/>
    </row>
    <row r="41" ht="15.75" customHeight="1">
      <c r="A41" s="5" t="s">
        <v>10</v>
      </c>
      <c r="B41" s="6" t="s">
        <v>122</v>
      </c>
      <c r="C41" s="6" t="s">
        <v>321</v>
      </c>
      <c r="D41" s="6" t="s">
        <v>323</v>
      </c>
      <c r="E41" s="6" t="s">
        <v>200</v>
      </c>
      <c r="F41" s="6" t="s">
        <v>325</v>
      </c>
      <c r="G41" s="6" t="s">
        <v>18</v>
      </c>
      <c r="H41" s="6"/>
    </row>
    <row r="42" ht="15.75" customHeight="1">
      <c r="A42" s="5" t="s">
        <v>10</v>
      </c>
      <c r="B42" s="6" t="s">
        <v>122</v>
      </c>
      <c r="C42" s="6" t="s">
        <v>331</v>
      </c>
      <c r="D42" s="6" t="s">
        <v>333</v>
      </c>
      <c r="E42" s="6" t="s">
        <v>200</v>
      </c>
      <c r="F42" s="6" t="s">
        <v>337</v>
      </c>
      <c r="G42" s="6" t="s">
        <v>22</v>
      </c>
      <c r="H42" s="6"/>
    </row>
    <row r="43" ht="15.75" customHeight="1">
      <c r="A43" s="5" t="s">
        <v>10</v>
      </c>
      <c r="B43" s="6" t="s">
        <v>122</v>
      </c>
      <c r="C43" s="6" t="s">
        <v>340</v>
      </c>
      <c r="D43" s="6" t="s">
        <v>341</v>
      </c>
      <c r="E43" s="6" t="s">
        <v>200</v>
      </c>
      <c r="F43" s="6" t="s">
        <v>344</v>
      </c>
      <c r="G43" s="6" t="s">
        <v>22</v>
      </c>
      <c r="H43" s="6"/>
    </row>
    <row r="44" ht="15.75" customHeight="1">
      <c r="A44" s="5" t="s">
        <v>10</v>
      </c>
      <c r="B44" s="6" t="s">
        <v>122</v>
      </c>
      <c r="C44" s="6" t="s">
        <v>349</v>
      </c>
      <c r="D44" s="6" t="s">
        <v>351</v>
      </c>
      <c r="E44" s="6" t="s">
        <v>200</v>
      </c>
      <c r="F44" s="6" t="s">
        <v>352</v>
      </c>
      <c r="G44" s="6" t="s">
        <v>18</v>
      </c>
      <c r="H44" s="6"/>
    </row>
    <row r="45" ht="15.75" customHeight="1">
      <c r="A45" s="5" t="s">
        <v>10</v>
      </c>
      <c r="B45" s="6" t="s">
        <v>122</v>
      </c>
      <c r="C45" s="6" t="s">
        <v>290</v>
      </c>
      <c r="D45" s="6" t="s">
        <v>360</v>
      </c>
      <c r="E45" s="6" t="s">
        <v>200</v>
      </c>
      <c r="F45" s="6" t="s">
        <v>362</v>
      </c>
      <c r="G45" s="6" t="s">
        <v>22</v>
      </c>
      <c r="H45" s="6"/>
    </row>
    <row r="46" ht="15.75" customHeight="1">
      <c r="A46" s="5" t="s">
        <v>10</v>
      </c>
      <c r="B46" s="6" t="s">
        <v>122</v>
      </c>
      <c r="C46" s="6" t="s">
        <v>365</v>
      </c>
      <c r="D46" s="6" t="s">
        <v>367</v>
      </c>
      <c r="E46" s="6" t="s">
        <v>200</v>
      </c>
      <c r="F46" s="6" t="s">
        <v>370</v>
      </c>
      <c r="G46" s="6" t="s">
        <v>22</v>
      </c>
      <c r="H46" s="6"/>
    </row>
    <row r="47" ht="15.75" customHeight="1">
      <c r="A47" s="5" t="s">
        <v>10</v>
      </c>
      <c r="B47" s="6" t="s">
        <v>122</v>
      </c>
      <c r="C47" s="6" t="s">
        <v>300</v>
      </c>
      <c r="D47" s="6" t="s">
        <v>377</v>
      </c>
      <c r="E47" s="6" t="s">
        <v>200</v>
      </c>
      <c r="F47" s="6" t="s">
        <v>378</v>
      </c>
      <c r="G47" s="6" t="s">
        <v>18</v>
      </c>
      <c r="H47" s="6"/>
    </row>
    <row r="48" ht="15.75" customHeight="1">
      <c r="A48" s="5" t="s">
        <v>10</v>
      </c>
      <c r="B48" s="6" t="s">
        <v>122</v>
      </c>
      <c r="C48" s="6" t="s">
        <v>384</v>
      </c>
      <c r="D48" s="6" t="s">
        <v>388</v>
      </c>
      <c r="E48" s="6" t="s">
        <v>236</v>
      </c>
      <c r="F48" s="6" t="s">
        <v>389</v>
      </c>
      <c r="G48" s="6" t="s">
        <v>22</v>
      </c>
      <c r="H48" s="6"/>
    </row>
    <row r="49" ht="15.75" customHeight="1">
      <c r="A49" s="5" t="s">
        <v>10</v>
      </c>
      <c r="B49" s="6" t="s">
        <v>144</v>
      </c>
      <c r="C49" s="6" t="s">
        <v>394</v>
      </c>
      <c r="D49" s="6" t="s">
        <v>395</v>
      </c>
      <c r="E49" s="6" t="s">
        <v>236</v>
      </c>
      <c r="F49" s="6" t="s">
        <v>398</v>
      </c>
      <c r="G49" s="6" t="s">
        <v>22</v>
      </c>
      <c r="H49" s="6"/>
    </row>
    <row r="50" ht="15.75" customHeight="1">
      <c r="A50" s="5" t="s">
        <v>10</v>
      </c>
      <c r="B50" s="6" t="s">
        <v>144</v>
      </c>
      <c r="C50" s="6" t="s">
        <v>403</v>
      </c>
      <c r="D50" s="6" t="s">
        <v>406</v>
      </c>
      <c r="E50" s="6" t="s">
        <v>236</v>
      </c>
      <c r="F50" s="6" t="s">
        <v>408</v>
      </c>
      <c r="G50" s="6" t="s">
        <v>33</v>
      </c>
      <c r="H50" s="6"/>
    </row>
    <row r="51" ht="15.75" customHeight="1">
      <c r="A51" s="5" t="s">
        <v>10</v>
      </c>
      <c r="B51" s="6" t="s">
        <v>144</v>
      </c>
      <c r="C51" s="6" t="s">
        <v>413</v>
      </c>
      <c r="D51" s="6" t="s">
        <v>415</v>
      </c>
      <c r="E51" s="6" t="s">
        <v>236</v>
      </c>
      <c r="F51" s="6" t="s">
        <v>418</v>
      </c>
      <c r="G51" s="6" t="s">
        <v>22</v>
      </c>
      <c r="H51" s="6"/>
    </row>
    <row r="52" ht="15.75" customHeight="1">
      <c r="A52" s="5" t="s">
        <v>10</v>
      </c>
      <c r="B52" s="6" t="s">
        <v>144</v>
      </c>
      <c r="C52" s="6" t="s">
        <v>421</v>
      </c>
      <c r="D52" s="6" t="s">
        <v>423</v>
      </c>
      <c r="E52" s="6" t="s">
        <v>236</v>
      </c>
      <c r="F52" s="6" t="s">
        <v>426</v>
      </c>
      <c r="G52" s="6" t="s">
        <v>22</v>
      </c>
      <c r="H52" s="6"/>
    </row>
    <row r="53" ht="15.75" customHeight="1">
      <c r="A53" s="5" t="s">
        <v>10</v>
      </c>
      <c r="B53" s="6" t="s">
        <v>144</v>
      </c>
      <c r="C53" s="6" t="s">
        <v>432</v>
      </c>
      <c r="D53" s="6" t="s">
        <v>435</v>
      </c>
      <c r="E53" s="6" t="s">
        <v>236</v>
      </c>
      <c r="F53" s="6" t="s">
        <v>438</v>
      </c>
      <c r="G53" s="6" t="s">
        <v>22</v>
      </c>
      <c r="H53" s="6"/>
    </row>
    <row r="54" ht="15.75" customHeight="1">
      <c r="A54" s="5" t="s">
        <v>10</v>
      </c>
      <c r="B54" s="6" t="s">
        <v>144</v>
      </c>
      <c r="C54" s="6" t="s">
        <v>443</v>
      </c>
      <c r="D54" s="6" t="s">
        <v>444</v>
      </c>
      <c r="E54" s="6" t="s">
        <v>200</v>
      </c>
      <c r="F54" s="6" t="s">
        <v>448</v>
      </c>
      <c r="G54" s="6" t="s">
        <v>22</v>
      </c>
      <c r="H54" s="6"/>
    </row>
    <row r="55" ht="15.75" customHeight="1">
      <c r="A55" s="5" t="s">
        <v>10</v>
      </c>
      <c r="B55" s="6" t="s">
        <v>144</v>
      </c>
      <c r="C55" s="6" t="s">
        <v>452</v>
      </c>
      <c r="D55" s="6" t="s">
        <v>455</v>
      </c>
      <c r="E55" s="6" t="s">
        <v>236</v>
      </c>
      <c r="F55" s="6" t="s">
        <v>458</v>
      </c>
      <c r="G55" s="6" t="s">
        <v>22</v>
      </c>
      <c r="H55" s="6"/>
    </row>
    <row r="56" ht="15.75" customHeight="1">
      <c r="A56" s="5" t="s">
        <v>10</v>
      </c>
      <c r="B56" s="6" t="s">
        <v>144</v>
      </c>
      <c r="C56" s="6" t="s">
        <v>462</v>
      </c>
      <c r="D56" s="6" t="s">
        <v>463</v>
      </c>
      <c r="E56" s="6" t="s">
        <v>200</v>
      </c>
      <c r="F56" s="6" t="s">
        <v>466</v>
      </c>
      <c r="G56" s="6" t="s">
        <v>22</v>
      </c>
      <c r="H56" s="6"/>
    </row>
    <row r="57" ht="15.75" customHeight="1">
      <c r="A57" s="5" t="s">
        <v>10</v>
      </c>
      <c r="B57" s="6" t="s">
        <v>144</v>
      </c>
      <c r="C57" s="6" t="s">
        <v>473</v>
      </c>
      <c r="D57" s="6" t="s">
        <v>474</v>
      </c>
      <c r="E57" s="6" t="s">
        <v>200</v>
      </c>
      <c r="F57" s="6" t="s">
        <v>478</v>
      </c>
      <c r="G57" s="6" t="s">
        <v>22</v>
      </c>
      <c r="H57" s="6"/>
    </row>
    <row r="58" ht="15.75" customHeight="1">
      <c r="A58" s="5" t="s">
        <v>10</v>
      </c>
      <c r="B58" s="6" t="s">
        <v>144</v>
      </c>
      <c r="C58" s="6" t="s">
        <v>300</v>
      </c>
      <c r="D58" s="6" t="s">
        <v>483</v>
      </c>
      <c r="E58" s="6" t="s">
        <v>200</v>
      </c>
      <c r="F58" s="6" t="s">
        <v>378</v>
      </c>
      <c r="G58" s="6" t="s">
        <v>18</v>
      </c>
      <c r="H58" s="6"/>
    </row>
    <row r="59" ht="15.75" customHeight="1">
      <c r="A59" s="5" t="s">
        <v>10</v>
      </c>
      <c r="B59" s="6" t="s">
        <v>144</v>
      </c>
      <c r="C59" s="6" t="s">
        <v>488</v>
      </c>
      <c r="D59" s="6" t="s">
        <v>490</v>
      </c>
      <c r="E59" s="6" t="s">
        <v>236</v>
      </c>
      <c r="F59" s="6" t="s">
        <v>492</v>
      </c>
      <c r="G59" s="6" t="s">
        <v>22</v>
      </c>
      <c r="H59" s="6"/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H1"/>
  </mergeCells>
  <conditionalFormatting sqref="A3:A59">
    <cfRule type="expression" dxfId="5" priority="1">
      <formula>A3="Ready"</formula>
    </cfRule>
  </conditionalFormatting>
  <conditionalFormatting sqref="A3:A59">
    <cfRule type="expression" dxfId="6" priority="2">
      <formula>A3="In progress"</formula>
    </cfRule>
  </conditionalFormatting>
  <conditionalFormatting sqref="A3:A59">
    <cfRule type="expression" dxfId="7" priority="3">
      <formula>A3="Needs replacement"</formula>
    </cfRule>
  </conditionalFormatting>
  <conditionalFormatting sqref="A3:A59">
    <cfRule type="expression" dxfId="8" priority="4">
      <formula>A3="Optional"</formula>
    </cfRule>
  </conditionalFormatting>
  <conditionalFormatting sqref="A3:A59">
    <cfRule type="expression" dxfId="9" priority="5">
      <formula>A3="Skip"</formula>
    </cfRule>
  </conditionalFormatting>
  <dataValidations>
    <dataValidation type="list" allowBlank="1" sqref="A3:A59">
      <formula1>"Not started,In progress,Ready,Needs replacement,Optional,Skip"</formula1>
    </dataValidation>
    <dataValidation type="list" allowBlank="1" sqref="G3:G59">
      <formula1>"Core,Recommended,Optional"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7.0"/>
    <col customWidth="1" min="2" max="2" width="25.0"/>
    <col customWidth="1" min="3" max="4" width="38.0"/>
    <col customWidth="1" min="5" max="5" width="30.0"/>
    <col customWidth="1" min="6" max="6" width="48.0"/>
    <col customWidth="1" min="7" max="7" width="15.0"/>
    <col customWidth="1" min="8" max="8" width="28.0"/>
    <col customWidth="1" min="9" max="26" width="8.63"/>
  </cols>
  <sheetData>
    <row r="1">
      <c r="A1" s="1" t="s">
        <v>1</v>
      </c>
    </row>
    <row r="2">
      <c r="A2" s="2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4" t="s">
        <v>9</v>
      </c>
    </row>
    <row r="3">
      <c r="A3" s="5" t="s">
        <v>10</v>
      </c>
      <c r="B3" s="6" t="s">
        <v>15</v>
      </c>
      <c r="C3" s="6" t="s">
        <v>17</v>
      </c>
      <c r="D3" s="6" t="s">
        <v>19</v>
      </c>
      <c r="E3" s="6" t="s">
        <v>20</v>
      </c>
      <c r="F3" s="6" t="s">
        <v>21</v>
      </c>
      <c r="G3" s="6" t="s">
        <v>22</v>
      </c>
      <c r="H3" s="6"/>
    </row>
    <row r="4">
      <c r="A4" s="5" t="s">
        <v>10</v>
      </c>
      <c r="B4" s="6" t="s">
        <v>15</v>
      </c>
      <c r="C4" s="6" t="s">
        <v>26</v>
      </c>
      <c r="D4" s="6" t="s">
        <v>27</v>
      </c>
      <c r="E4" s="6" t="s">
        <v>28</v>
      </c>
      <c r="F4" s="6" t="s">
        <v>29</v>
      </c>
      <c r="G4" s="6" t="s">
        <v>22</v>
      </c>
      <c r="H4" s="6"/>
    </row>
    <row r="5">
      <c r="A5" s="5" t="s">
        <v>10</v>
      </c>
      <c r="B5" s="6" t="s">
        <v>15</v>
      </c>
      <c r="C5" s="6" t="s">
        <v>34</v>
      </c>
      <c r="D5" s="6" t="s">
        <v>35</v>
      </c>
      <c r="E5" s="6" t="s">
        <v>20</v>
      </c>
      <c r="F5" s="6" t="s">
        <v>37</v>
      </c>
      <c r="G5" s="6" t="s">
        <v>18</v>
      </c>
      <c r="H5" s="6"/>
    </row>
    <row r="6">
      <c r="A6" s="5" t="s">
        <v>10</v>
      </c>
      <c r="B6" s="6" t="s">
        <v>15</v>
      </c>
      <c r="C6" s="6" t="s">
        <v>40</v>
      </c>
      <c r="D6" s="6" t="s">
        <v>41</v>
      </c>
      <c r="E6" s="6" t="s">
        <v>43</v>
      </c>
      <c r="F6" s="6" t="s">
        <v>45</v>
      </c>
      <c r="G6" s="6" t="s">
        <v>18</v>
      </c>
      <c r="H6" s="6"/>
    </row>
    <row r="7">
      <c r="A7" s="5" t="s">
        <v>10</v>
      </c>
      <c r="B7" s="6" t="s">
        <v>15</v>
      </c>
      <c r="C7" s="6" t="s">
        <v>48</v>
      </c>
      <c r="D7" s="6" t="s">
        <v>50</v>
      </c>
      <c r="E7" s="6" t="s">
        <v>20</v>
      </c>
      <c r="F7" s="6" t="s">
        <v>52</v>
      </c>
      <c r="G7" s="6" t="s">
        <v>18</v>
      </c>
      <c r="H7" s="6"/>
    </row>
    <row r="8">
      <c r="A8" s="5" t="s">
        <v>10</v>
      </c>
      <c r="B8" s="6" t="s">
        <v>15</v>
      </c>
      <c r="C8" s="6" t="s">
        <v>55</v>
      </c>
      <c r="D8" s="6" t="s">
        <v>57</v>
      </c>
      <c r="E8" s="6" t="s">
        <v>20</v>
      </c>
      <c r="F8" s="6" t="s">
        <v>58</v>
      </c>
      <c r="G8" s="6" t="s">
        <v>18</v>
      </c>
      <c r="H8" s="6"/>
    </row>
    <row r="9">
      <c r="A9" s="5" t="s">
        <v>10</v>
      </c>
      <c r="B9" s="6" t="s">
        <v>15</v>
      </c>
      <c r="C9" s="6" t="s">
        <v>62</v>
      </c>
      <c r="D9" s="6" t="s">
        <v>63</v>
      </c>
      <c r="E9" s="6" t="s">
        <v>64</v>
      </c>
      <c r="F9" s="6" t="s">
        <v>65</v>
      </c>
      <c r="G9" s="6" t="s">
        <v>33</v>
      </c>
      <c r="H9" s="6"/>
    </row>
    <row r="10">
      <c r="A10" s="5" t="s">
        <v>10</v>
      </c>
      <c r="B10" s="6" t="s">
        <v>15</v>
      </c>
      <c r="C10" s="6" t="s">
        <v>69</v>
      </c>
      <c r="D10" s="6" t="s">
        <v>70</v>
      </c>
      <c r="E10" s="6" t="s">
        <v>64</v>
      </c>
      <c r="F10" s="6" t="s">
        <v>72</v>
      </c>
      <c r="G10" s="6" t="s">
        <v>18</v>
      </c>
      <c r="H10" s="6"/>
    </row>
    <row r="11">
      <c r="A11" s="5" t="s">
        <v>10</v>
      </c>
      <c r="B11" s="6" t="s">
        <v>15</v>
      </c>
      <c r="C11" s="6" t="s">
        <v>76</v>
      </c>
      <c r="D11" s="6" t="s">
        <v>77</v>
      </c>
      <c r="E11" s="6" t="s">
        <v>64</v>
      </c>
      <c r="F11" s="6" t="s">
        <v>80</v>
      </c>
      <c r="G11" s="6" t="s">
        <v>18</v>
      </c>
      <c r="H11" s="6"/>
    </row>
    <row r="12">
      <c r="A12" s="5" t="s">
        <v>10</v>
      </c>
      <c r="B12" s="6" t="s">
        <v>15</v>
      </c>
      <c r="C12" s="6" t="s">
        <v>89</v>
      </c>
      <c r="D12" s="6" t="s">
        <v>91</v>
      </c>
      <c r="E12" s="6" t="s">
        <v>64</v>
      </c>
      <c r="F12" s="6" t="s">
        <v>93</v>
      </c>
      <c r="G12" s="6" t="s">
        <v>33</v>
      </c>
      <c r="H12" s="6"/>
    </row>
    <row r="13">
      <c r="A13" s="5" t="s">
        <v>10</v>
      </c>
      <c r="B13" s="6" t="s">
        <v>15</v>
      </c>
      <c r="C13" s="6" t="s">
        <v>97</v>
      </c>
      <c r="D13" s="6" t="s">
        <v>98</v>
      </c>
      <c r="E13" s="6" t="s">
        <v>20</v>
      </c>
      <c r="F13" s="6" t="s">
        <v>101</v>
      </c>
      <c r="G13" s="6" t="s">
        <v>33</v>
      </c>
      <c r="H13" s="6"/>
    </row>
    <row r="14">
      <c r="A14" s="5" t="s">
        <v>10</v>
      </c>
      <c r="B14" s="6" t="s">
        <v>15</v>
      </c>
      <c r="C14" s="6" t="s">
        <v>105</v>
      </c>
      <c r="D14" s="6" t="s">
        <v>106</v>
      </c>
      <c r="E14" s="6" t="s">
        <v>64</v>
      </c>
      <c r="F14" s="6" t="s">
        <v>107</v>
      </c>
      <c r="G14" s="6" t="s">
        <v>33</v>
      </c>
      <c r="H14" s="6"/>
    </row>
    <row r="15">
      <c r="A15" s="5" t="s">
        <v>10</v>
      </c>
      <c r="B15" s="6" t="s">
        <v>15</v>
      </c>
      <c r="C15" s="6" t="s">
        <v>112</v>
      </c>
      <c r="D15" s="6" t="s">
        <v>113</v>
      </c>
      <c r="E15" s="6" t="s">
        <v>64</v>
      </c>
      <c r="F15" s="6" t="s">
        <v>116</v>
      </c>
      <c r="G15" s="6" t="s">
        <v>33</v>
      </c>
      <c r="H15" s="6"/>
    </row>
    <row r="16">
      <c r="A16" s="5" t="s">
        <v>10</v>
      </c>
      <c r="B16" s="6" t="s">
        <v>15</v>
      </c>
      <c r="C16" s="6" t="s">
        <v>120</v>
      </c>
      <c r="D16" s="6" t="s">
        <v>121</v>
      </c>
      <c r="E16" s="6" t="s">
        <v>64</v>
      </c>
      <c r="F16" s="6" t="s">
        <v>116</v>
      </c>
      <c r="G16" s="6" t="s">
        <v>33</v>
      </c>
      <c r="H16" s="6"/>
    </row>
    <row r="17">
      <c r="A17" s="5" t="s">
        <v>10</v>
      </c>
      <c r="B17" s="6" t="s">
        <v>15</v>
      </c>
      <c r="C17" s="6" t="s">
        <v>127</v>
      </c>
      <c r="D17" s="6" t="s">
        <v>128</v>
      </c>
      <c r="E17" s="6" t="s">
        <v>14</v>
      </c>
      <c r="F17" s="6" t="s">
        <v>129</v>
      </c>
      <c r="G17" s="6" t="s">
        <v>22</v>
      </c>
      <c r="H17" s="6"/>
    </row>
    <row r="18">
      <c r="A18" s="5" t="s">
        <v>10</v>
      </c>
      <c r="B18" s="6" t="s">
        <v>15</v>
      </c>
      <c r="C18" s="6" t="s">
        <v>132</v>
      </c>
      <c r="D18" s="6" t="s">
        <v>134</v>
      </c>
      <c r="E18" s="6" t="s">
        <v>14</v>
      </c>
      <c r="F18" s="6" t="s">
        <v>136</v>
      </c>
      <c r="G18" s="6" t="s">
        <v>18</v>
      </c>
      <c r="H18" s="6"/>
    </row>
    <row r="19">
      <c r="A19" s="5" t="s">
        <v>10</v>
      </c>
      <c r="B19" s="6" t="s">
        <v>15</v>
      </c>
      <c r="C19" s="6" t="s">
        <v>138</v>
      </c>
      <c r="D19" s="6" t="s">
        <v>140</v>
      </c>
      <c r="E19" s="6" t="s">
        <v>14</v>
      </c>
      <c r="F19" s="6" t="s">
        <v>142</v>
      </c>
      <c r="G19" s="6" t="s">
        <v>18</v>
      </c>
      <c r="H19" s="6"/>
    </row>
    <row r="20">
      <c r="A20" s="5" t="s">
        <v>10</v>
      </c>
      <c r="B20" s="6" t="s">
        <v>15</v>
      </c>
      <c r="C20" s="6" t="s">
        <v>143</v>
      </c>
      <c r="D20" s="6" t="s">
        <v>145</v>
      </c>
      <c r="E20" s="6" t="s">
        <v>28</v>
      </c>
      <c r="F20" s="6" t="s">
        <v>147</v>
      </c>
      <c r="G20" s="6" t="s">
        <v>18</v>
      </c>
      <c r="H20" s="6"/>
    </row>
    <row r="21" ht="15.75" customHeight="1">
      <c r="A21" s="5" t="s">
        <v>10</v>
      </c>
      <c r="B21" s="6" t="s">
        <v>122</v>
      </c>
      <c r="C21" s="6" t="s">
        <v>150</v>
      </c>
      <c r="D21" s="6" t="s">
        <v>151</v>
      </c>
      <c r="E21" s="6" t="s">
        <v>64</v>
      </c>
      <c r="F21" s="6" t="s">
        <v>21</v>
      </c>
      <c r="G21" s="6" t="s">
        <v>22</v>
      </c>
      <c r="H21" s="6"/>
    </row>
    <row r="22" ht="15.75" customHeight="1">
      <c r="A22" s="5" t="s">
        <v>10</v>
      </c>
      <c r="B22" s="6" t="s">
        <v>122</v>
      </c>
      <c r="C22" s="6" t="s">
        <v>153</v>
      </c>
      <c r="D22" s="6" t="s">
        <v>155</v>
      </c>
      <c r="E22" s="6" t="s">
        <v>64</v>
      </c>
      <c r="F22" s="6" t="s">
        <v>157</v>
      </c>
      <c r="G22" s="6" t="s">
        <v>22</v>
      </c>
      <c r="H22" s="6"/>
    </row>
    <row r="23" ht="15.75" customHeight="1">
      <c r="A23" s="5" t="s">
        <v>10</v>
      </c>
      <c r="B23" s="6" t="s">
        <v>122</v>
      </c>
      <c r="C23" s="6" t="s">
        <v>162</v>
      </c>
      <c r="D23" s="6" t="s">
        <v>163</v>
      </c>
      <c r="E23" s="6" t="s">
        <v>64</v>
      </c>
      <c r="F23" s="6" t="s">
        <v>165</v>
      </c>
      <c r="G23" s="6" t="s">
        <v>18</v>
      </c>
      <c r="H23" s="6"/>
    </row>
    <row r="24" ht="15.75" customHeight="1">
      <c r="A24" s="5" t="s">
        <v>10</v>
      </c>
      <c r="B24" s="6" t="s">
        <v>122</v>
      </c>
      <c r="C24" s="6" t="s">
        <v>169</v>
      </c>
      <c r="D24" s="6" t="s">
        <v>171</v>
      </c>
      <c r="E24" s="6" t="s">
        <v>20</v>
      </c>
      <c r="F24" s="6" t="s">
        <v>174</v>
      </c>
      <c r="G24" s="6" t="s">
        <v>18</v>
      </c>
      <c r="H24" s="6"/>
    </row>
    <row r="25" ht="15.75" customHeight="1">
      <c r="A25" s="5" t="s">
        <v>10</v>
      </c>
      <c r="B25" s="6" t="s">
        <v>122</v>
      </c>
      <c r="C25" s="6" t="s">
        <v>175</v>
      </c>
      <c r="D25" s="6" t="s">
        <v>177</v>
      </c>
      <c r="E25" s="6" t="s">
        <v>20</v>
      </c>
      <c r="F25" s="6" t="s">
        <v>179</v>
      </c>
      <c r="G25" s="6" t="s">
        <v>18</v>
      </c>
      <c r="H25" s="6"/>
    </row>
    <row r="26" ht="15.75" customHeight="1">
      <c r="A26" s="5" t="s">
        <v>10</v>
      </c>
      <c r="B26" s="6" t="s">
        <v>122</v>
      </c>
      <c r="C26" s="6" t="s">
        <v>184</v>
      </c>
      <c r="D26" s="6" t="s">
        <v>185</v>
      </c>
      <c r="E26" s="6" t="s">
        <v>20</v>
      </c>
      <c r="F26" s="6" t="s">
        <v>187</v>
      </c>
      <c r="G26" s="6" t="s">
        <v>18</v>
      </c>
      <c r="H26" s="6"/>
    </row>
    <row r="27" ht="15.75" customHeight="1">
      <c r="A27" s="5" t="s">
        <v>10</v>
      </c>
      <c r="B27" s="6" t="s">
        <v>122</v>
      </c>
      <c r="C27" s="6" t="s">
        <v>191</v>
      </c>
      <c r="D27" s="6" t="s">
        <v>193</v>
      </c>
      <c r="E27" s="6" t="s">
        <v>64</v>
      </c>
      <c r="F27" s="6" t="s">
        <v>195</v>
      </c>
      <c r="G27" s="6" t="s">
        <v>33</v>
      </c>
      <c r="H27" s="6"/>
    </row>
    <row r="28" ht="15.75" customHeight="1">
      <c r="A28" s="5" t="s">
        <v>10</v>
      </c>
      <c r="B28" s="6" t="s">
        <v>122</v>
      </c>
      <c r="C28" s="6" t="s">
        <v>204</v>
      </c>
      <c r="D28" s="6" t="s">
        <v>205</v>
      </c>
      <c r="E28" s="6" t="s">
        <v>20</v>
      </c>
      <c r="F28" s="6" t="s">
        <v>209</v>
      </c>
      <c r="G28" s="6" t="s">
        <v>33</v>
      </c>
      <c r="H28" s="6"/>
    </row>
    <row r="29" ht="15.75" customHeight="1">
      <c r="A29" s="5" t="s">
        <v>10</v>
      </c>
      <c r="B29" s="6" t="s">
        <v>122</v>
      </c>
      <c r="C29" s="6" t="s">
        <v>213</v>
      </c>
      <c r="D29" s="6" t="s">
        <v>214</v>
      </c>
      <c r="E29" s="6" t="s">
        <v>64</v>
      </c>
      <c r="F29" s="6" t="s">
        <v>217</v>
      </c>
      <c r="G29" s="6" t="s">
        <v>33</v>
      </c>
      <c r="H29" s="6"/>
    </row>
    <row r="30" ht="15.75" customHeight="1">
      <c r="A30" s="5" t="s">
        <v>10</v>
      </c>
      <c r="B30" s="6" t="s">
        <v>122</v>
      </c>
      <c r="C30" s="6" t="s">
        <v>219</v>
      </c>
      <c r="D30" s="6" t="s">
        <v>220</v>
      </c>
      <c r="E30" s="6" t="s">
        <v>28</v>
      </c>
      <c r="F30" s="6" t="s">
        <v>223</v>
      </c>
      <c r="G30" s="6" t="s">
        <v>33</v>
      </c>
      <c r="H30" s="6"/>
    </row>
    <row r="31" ht="15.75" customHeight="1">
      <c r="A31" s="5" t="s">
        <v>10</v>
      </c>
      <c r="B31" s="6" t="s">
        <v>122</v>
      </c>
      <c r="C31" s="6" t="s">
        <v>225</v>
      </c>
      <c r="D31" s="6" t="s">
        <v>226</v>
      </c>
      <c r="E31" s="6" t="s">
        <v>64</v>
      </c>
      <c r="F31" s="6" t="s">
        <v>227</v>
      </c>
      <c r="G31" s="6" t="s">
        <v>33</v>
      </c>
      <c r="H31" s="6"/>
    </row>
    <row r="32" ht="15.75" customHeight="1">
      <c r="A32" s="5" t="s">
        <v>10</v>
      </c>
      <c r="B32" s="6" t="s">
        <v>122</v>
      </c>
      <c r="C32" s="6" t="s">
        <v>231</v>
      </c>
      <c r="D32" s="6" t="s">
        <v>232</v>
      </c>
      <c r="E32" s="6" t="s">
        <v>64</v>
      </c>
      <c r="F32" s="6" t="s">
        <v>233</v>
      </c>
      <c r="G32" s="6" t="s">
        <v>33</v>
      </c>
      <c r="H32" s="6"/>
    </row>
    <row r="33" ht="15.75" customHeight="1">
      <c r="A33" s="5" t="s">
        <v>10</v>
      </c>
      <c r="B33" s="6" t="s">
        <v>122</v>
      </c>
      <c r="C33" s="6" t="s">
        <v>238</v>
      </c>
      <c r="D33" s="6" t="s">
        <v>239</v>
      </c>
      <c r="E33" s="6" t="s">
        <v>64</v>
      </c>
      <c r="F33" s="6" t="s">
        <v>240</v>
      </c>
      <c r="G33" s="6" t="s">
        <v>33</v>
      </c>
      <c r="H33" s="6"/>
    </row>
    <row r="34" ht="15.75" customHeight="1">
      <c r="A34" s="5" t="s">
        <v>10</v>
      </c>
      <c r="B34" s="6" t="s">
        <v>122</v>
      </c>
      <c r="C34" s="6" t="s">
        <v>242</v>
      </c>
      <c r="D34" s="6" t="s">
        <v>244</v>
      </c>
      <c r="E34" s="6" t="s">
        <v>64</v>
      </c>
      <c r="F34" s="6" t="s">
        <v>246</v>
      </c>
      <c r="G34" s="6" t="s">
        <v>33</v>
      </c>
      <c r="H34" s="6"/>
    </row>
    <row r="35" ht="15.75" customHeight="1">
      <c r="A35" s="5" t="s">
        <v>10</v>
      </c>
      <c r="B35" s="6" t="s">
        <v>122</v>
      </c>
      <c r="C35" s="6" t="s">
        <v>247</v>
      </c>
      <c r="D35" s="6" t="s">
        <v>249</v>
      </c>
      <c r="E35" s="6" t="s">
        <v>14</v>
      </c>
      <c r="F35" s="6" t="s">
        <v>251</v>
      </c>
      <c r="G35" s="6" t="s">
        <v>22</v>
      </c>
      <c r="H35" s="6"/>
    </row>
    <row r="36" ht="15.75" customHeight="1">
      <c r="A36" s="5" t="s">
        <v>10</v>
      </c>
      <c r="B36" s="6" t="s">
        <v>122</v>
      </c>
      <c r="C36" s="6" t="s">
        <v>253</v>
      </c>
      <c r="D36" s="6" t="s">
        <v>254</v>
      </c>
      <c r="E36" s="6" t="s">
        <v>14</v>
      </c>
      <c r="F36" s="6" t="s">
        <v>257</v>
      </c>
      <c r="G36" s="6" t="s">
        <v>18</v>
      </c>
      <c r="H36" s="6"/>
    </row>
    <row r="37" ht="15.75" customHeight="1">
      <c r="A37" s="5" t="s">
        <v>10</v>
      </c>
      <c r="B37" s="6" t="s">
        <v>122</v>
      </c>
      <c r="C37" s="6" t="s">
        <v>259</v>
      </c>
      <c r="D37" s="6" t="s">
        <v>260</v>
      </c>
      <c r="E37" s="6" t="s">
        <v>14</v>
      </c>
      <c r="F37" s="6" t="s">
        <v>262</v>
      </c>
      <c r="G37" s="6" t="s">
        <v>33</v>
      </c>
      <c r="H37" s="6"/>
    </row>
    <row r="38" ht="15.75" customHeight="1">
      <c r="A38" s="5" t="s">
        <v>10</v>
      </c>
      <c r="B38" s="6" t="s">
        <v>122</v>
      </c>
      <c r="C38" s="6" t="s">
        <v>265</v>
      </c>
      <c r="D38" s="6" t="s">
        <v>266</v>
      </c>
      <c r="E38" s="6" t="s">
        <v>14</v>
      </c>
      <c r="F38" s="6" t="s">
        <v>267</v>
      </c>
      <c r="G38" s="6" t="s">
        <v>33</v>
      </c>
      <c r="H38" s="6"/>
    </row>
    <row r="39" ht="15.75" customHeight="1">
      <c r="A39" s="5" t="s">
        <v>10</v>
      </c>
      <c r="B39" s="6" t="s">
        <v>122</v>
      </c>
      <c r="C39" s="6" t="s">
        <v>269</v>
      </c>
      <c r="D39" s="6" t="s">
        <v>271</v>
      </c>
      <c r="E39" s="6" t="s">
        <v>28</v>
      </c>
      <c r="F39" s="6" t="s">
        <v>272</v>
      </c>
      <c r="G39" s="6" t="s">
        <v>18</v>
      </c>
      <c r="H39" s="6"/>
    </row>
    <row r="40" ht="15.75" customHeight="1">
      <c r="A40" s="5" t="s">
        <v>210</v>
      </c>
      <c r="B40" s="6" t="s">
        <v>144</v>
      </c>
      <c r="C40" s="6" t="s">
        <v>274</v>
      </c>
      <c r="D40" s="6" t="s">
        <v>278</v>
      </c>
      <c r="E40" s="6" t="s">
        <v>280</v>
      </c>
      <c r="F40" s="6" t="s">
        <v>282</v>
      </c>
      <c r="G40" s="6" t="s">
        <v>22</v>
      </c>
      <c r="H40" s="6"/>
    </row>
    <row r="41" ht="15.75" customHeight="1">
      <c r="A41" s="5" t="s">
        <v>10</v>
      </c>
      <c r="B41" s="6" t="s">
        <v>144</v>
      </c>
      <c r="C41" s="6" t="s">
        <v>286</v>
      </c>
      <c r="D41" s="6" t="s">
        <v>287</v>
      </c>
      <c r="E41" s="6" t="s">
        <v>14</v>
      </c>
      <c r="F41" s="6" t="s">
        <v>289</v>
      </c>
      <c r="G41" s="6" t="s">
        <v>22</v>
      </c>
      <c r="H41" s="6"/>
    </row>
    <row r="42" ht="15.75" customHeight="1">
      <c r="A42" s="5" t="s">
        <v>10</v>
      </c>
      <c r="B42" s="6" t="s">
        <v>144</v>
      </c>
      <c r="C42" s="6" t="s">
        <v>293</v>
      </c>
      <c r="D42" s="6" t="s">
        <v>294</v>
      </c>
      <c r="E42" s="6" t="s">
        <v>14</v>
      </c>
      <c r="F42" s="6" t="s">
        <v>295</v>
      </c>
      <c r="G42" s="6" t="s">
        <v>22</v>
      </c>
      <c r="H42" s="6"/>
    </row>
    <row r="43" ht="15.75" customHeight="1">
      <c r="A43" s="5" t="s">
        <v>210</v>
      </c>
      <c r="B43" s="6" t="s">
        <v>144</v>
      </c>
      <c r="C43" s="6" t="s">
        <v>299</v>
      </c>
      <c r="D43" s="6" t="s">
        <v>301</v>
      </c>
      <c r="E43" s="6" t="s">
        <v>20</v>
      </c>
      <c r="F43" s="6" t="s">
        <v>303</v>
      </c>
      <c r="G43" s="6" t="s">
        <v>18</v>
      </c>
      <c r="H43" s="6"/>
    </row>
    <row r="44" ht="15.75" customHeight="1">
      <c r="A44" s="5" t="s">
        <v>210</v>
      </c>
      <c r="B44" s="6" t="s">
        <v>144</v>
      </c>
      <c r="C44" s="6" t="s">
        <v>307</v>
      </c>
      <c r="D44" s="6" t="s">
        <v>309</v>
      </c>
      <c r="E44" s="6" t="s">
        <v>64</v>
      </c>
      <c r="F44" s="6" t="s">
        <v>312</v>
      </c>
      <c r="G44" s="6" t="s">
        <v>33</v>
      </c>
      <c r="H44" s="6"/>
    </row>
    <row r="45" ht="15.75" customHeight="1">
      <c r="A45" s="5" t="s">
        <v>10</v>
      </c>
      <c r="B45" s="6" t="s">
        <v>144</v>
      </c>
      <c r="C45" s="6" t="s">
        <v>316</v>
      </c>
      <c r="D45" s="6" t="s">
        <v>317</v>
      </c>
      <c r="E45" s="6" t="s">
        <v>20</v>
      </c>
      <c r="F45" s="6" t="s">
        <v>21</v>
      </c>
      <c r="G45" s="6" t="s">
        <v>22</v>
      </c>
      <c r="H45" s="6"/>
    </row>
    <row r="46" ht="15.75" customHeight="1">
      <c r="A46" s="5" t="s">
        <v>10</v>
      </c>
      <c r="B46" s="6" t="s">
        <v>144</v>
      </c>
      <c r="C46" s="6" t="s">
        <v>322</v>
      </c>
      <c r="D46" s="6" t="s">
        <v>324</v>
      </c>
      <c r="E46" s="6" t="s">
        <v>20</v>
      </c>
      <c r="F46" s="6" t="s">
        <v>326</v>
      </c>
      <c r="G46" s="6" t="s">
        <v>22</v>
      </c>
      <c r="H46" s="6"/>
    </row>
    <row r="47" ht="15.75" customHeight="1">
      <c r="A47" s="5" t="s">
        <v>10</v>
      </c>
      <c r="B47" s="6" t="s">
        <v>144</v>
      </c>
      <c r="C47" s="6" t="s">
        <v>338</v>
      </c>
      <c r="D47" s="6" t="s">
        <v>339</v>
      </c>
      <c r="E47" s="6" t="s">
        <v>28</v>
      </c>
      <c r="F47" s="6" t="s">
        <v>342</v>
      </c>
      <c r="G47" s="6" t="s">
        <v>22</v>
      </c>
      <c r="H47" s="6"/>
    </row>
    <row r="48" ht="15.75" customHeight="1">
      <c r="A48" s="5" t="s">
        <v>10</v>
      </c>
      <c r="B48" s="6" t="s">
        <v>144</v>
      </c>
      <c r="C48" s="6" t="s">
        <v>353</v>
      </c>
      <c r="D48" s="6" t="s">
        <v>354</v>
      </c>
      <c r="E48" s="6" t="s">
        <v>355</v>
      </c>
      <c r="F48" s="6" t="s">
        <v>357</v>
      </c>
      <c r="G48" s="6" t="s">
        <v>18</v>
      </c>
      <c r="H48" s="6"/>
    </row>
    <row r="49" ht="15.75" customHeight="1">
      <c r="A49" s="5" t="s">
        <v>10</v>
      </c>
      <c r="B49" s="6" t="s">
        <v>144</v>
      </c>
      <c r="C49" s="6" t="s">
        <v>366</v>
      </c>
      <c r="D49" s="6" t="s">
        <v>368</v>
      </c>
      <c r="E49" s="6" t="s">
        <v>355</v>
      </c>
      <c r="F49" s="6" t="s">
        <v>374</v>
      </c>
      <c r="G49" s="6" t="s">
        <v>18</v>
      </c>
      <c r="H49" s="6"/>
    </row>
    <row r="50" ht="15.75" customHeight="1">
      <c r="A50" s="5" t="s">
        <v>10</v>
      </c>
      <c r="B50" s="6" t="s">
        <v>144</v>
      </c>
      <c r="C50" s="6" t="s">
        <v>380</v>
      </c>
      <c r="D50" s="6" t="s">
        <v>382</v>
      </c>
      <c r="E50" s="6" t="s">
        <v>20</v>
      </c>
      <c r="F50" s="6" t="s">
        <v>385</v>
      </c>
      <c r="G50" s="6" t="s">
        <v>18</v>
      </c>
      <c r="H50" s="6"/>
    </row>
    <row r="51" ht="15.75" customHeight="1">
      <c r="A51" s="5" t="s">
        <v>10</v>
      </c>
      <c r="B51" s="6" t="s">
        <v>144</v>
      </c>
      <c r="C51" s="6" t="s">
        <v>391</v>
      </c>
      <c r="D51" s="6" t="s">
        <v>392</v>
      </c>
      <c r="E51" s="6" t="s">
        <v>64</v>
      </c>
      <c r="F51" s="6" t="s">
        <v>397</v>
      </c>
      <c r="G51" s="6" t="s">
        <v>18</v>
      </c>
      <c r="H51" s="6"/>
    </row>
    <row r="52" ht="15.75" customHeight="1">
      <c r="A52" s="5" t="s">
        <v>10</v>
      </c>
      <c r="B52" s="6" t="s">
        <v>144</v>
      </c>
      <c r="C52" s="6" t="s">
        <v>402</v>
      </c>
      <c r="D52" s="6" t="s">
        <v>404</v>
      </c>
      <c r="E52" s="6" t="s">
        <v>64</v>
      </c>
      <c r="F52" s="6" t="s">
        <v>407</v>
      </c>
      <c r="G52" s="6" t="s">
        <v>33</v>
      </c>
      <c r="H52" s="6"/>
    </row>
    <row r="53" ht="15.75" customHeight="1">
      <c r="A53" s="5" t="s">
        <v>10</v>
      </c>
      <c r="B53" s="6" t="s">
        <v>144</v>
      </c>
      <c r="C53" s="6" t="s">
        <v>416</v>
      </c>
      <c r="D53" s="6" t="s">
        <v>417</v>
      </c>
      <c r="E53" s="6" t="s">
        <v>20</v>
      </c>
      <c r="F53" s="6" t="s">
        <v>420</v>
      </c>
      <c r="G53" s="6" t="s">
        <v>33</v>
      </c>
      <c r="H53" s="6"/>
    </row>
    <row r="54" ht="15.75" customHeight="1">
      <c r="A54" s="5" t="s">
        <v>10</v>
      </c>
      <c r="B54" s="6" t="s">
        <v>144</v>
      </c>
      <c r="C54" s="6" t="s">
        <v>424</v>
      </c>
      <c r="D54" s="6" t="s">
        <v>425</v>
      </c>
      <c r="E54" s="6" t="s">
        <v>20</v>
      </c>
      <c r="F54" s="6" t="s">
        <v>428</v>
      </c>
      <c r="G54" s="6" t="s">
        <v>33</v>
      </c>
      <c r="H54" s="6"/>
    </row>
    <row r="55" ht="15.75" customHeight="1">
      <c r="A55" s="5" t="s">
        <v>10</v>
      </c>
      <c r="B55" s="6" t="s">
        <v>144</v>
      </c>
      <c r="C55" s="6" t="s">
        <v>433</v>
      </c>
      <c r="D55" s="6" t="s">
        <v>436</v>
      </c>
      <c r="E55" s="6" t="s">
        <v>43</v>
      </c>
      <c r="F55" s="6" t="s">
        <v>437</v>
      </c>
      <c r="G55" s="6" t="s">
        <v>22</v>
      </c>
      <c r="H55" s="6"/>
    </row>
    <row r="56" ht="15.75" customHeight="1">
      <c r="A56" s="5" t="s">
        <v>10</v>
      </c>
      <c r="B56" s="6" t="s">
        <v>144</v>
      </c>
      <c r="C56" s="6" t="s">
        <v>445</v>
      </c>
      <c r="D56" s="6" t="s">
        <v>449</v>
      </c>
      <c r="E56" s="6" t="s">
        <v>20</v>
      </c>
      <c r="F56" s="6" t="s">
        <v>450</v>
      </c>
      <c r="G56" s="6" t="s">
        <v>33</v>
      </c>
      <c r="H56" s="6"/>
    </row>
    <row r="57" ht="15.75" customHeight="1">
      <c r="A57" s="5" t="s">
        <v>10</v>
      </c>
      <c r="B57" s="6" t="s">
        <v>144</v>
      </c>
      <c r="C57" s="6" t="s">
        <v>460</v>
      </c>
      <c r="D57" s="6" t="s">
        <v>461</v>
      </c>
      <c r="E57" s="6" t="s">
        <v>64</v>
      </c>
      <c r="F57" s="6" t="s">
        <v>464</v>
      </c>
      <c r="G57" s="6" t="s">
        <v>33</v>
      </c>
      <c r="H57" s="6"/>
    </row>
    <row r="58" ht="15.75" customHeight="1">
      <c r="A58" s="5" t="s">
        <v>10</v>
      </c>
      <c r="B58" s="6" t="s">
        <v>144</v>
      </c>
      <c r="C58" s="6" t="s">
        <v>471</v>
      </c>
      <c r="D58" s="6" t="s">
        <v>472</v>
      </c>
      <c r="E58" s="6" t="s">
        <v>20</v>
      </c>
      <c r="F58" s="6" t="s">
        <v>476</v>
      </c>
      <c r="G58" s="6" t="s">
        <v>33</v>
      </c>
      <c r="H58" s="6"/>
    </row>
    <row r="59" ht="15.75" customHeight="1">
      <c r="A59" s="5" t="s">
        <v>210</v>
      </c>
      <c r="B59" s="6" t="s">
        <v>144</v>
      </c>
      <c r="C59" s="6" t="s">
        <v>482</v>
      </c>
      <c r="D59" s="6" t="s">
        <v>485</v>
      </c>
      <c r="E59" s="6" t="s">
        <v>14</v>
      </c>
      <c r="F59" s="6" t="s">
        <v>486</v>
      </c>
      <c r="G59" s="6" t="s">
        <v>18</v>
      </c>
      <c r="H59" s="6"/>
    </row>
    <row r="60" ht="15.75" customHeight="1">
      <c r="A60" s="5" t="s">
        <v>210</v>
      </c>
      <c r="B60" s="6" t="s">
        <v>144</v>
      </c>
      <c r="C60" s="6" t="s">
        <v>493</v>
      </c>
      <c r="D60" s="6" t="s">
        <v>495</v>
      </c>
      <c r="E60" s="6" t="s">
        <v>14</v>
      </c>
      <c r="F60" s="6" t="s">
        <v>497</v>
      </c>
      <c r="G60" s="6" t="s">
        <v>18</v>
      </c>
      <c r="H60" s="6"/>
    </row>
    <row r="61" ht="15.75" customHeight="1">
      <c r="A61" s="5" t="s">
        <v>10</v>
      </c>
      <c r="B61" s="6" t="s">
        <v>144</v>
      </c>
      <c r="C61" s="6" t="s">
        <v>501</v>
      </c>
      <c r="D61" s="6" t="s">
        <v>503</v>
      </c>
      <c r="E61" s="6" t="s">
        <v>14</v>
      </c>
      <c r="F61" s="6" t="s">
        <v>505</v>
      </c>
      <c r="G61" s="6" t="s">
        <v>33</v>
      </c>
      <c r="H61" s="6"/>
    </row>
    <row r="62" ht="15.75" customHeight="1">
      <c r="A62" s="5" t="s">
        <v>210</v>
      </c>
      <c r="B62" s="6" t="s">
        <v>144</v>
      </c>
      <c r="C62" s="6" t="s">
        <v>510</v>
      </c>
      <c r="D62" s="6" t="s">
        <v>511</v>
      </c>
      <c r="E62" s="6" t="s">
        <v>280</v>
      </c>
      <c r="F62" s="6" t="s">
        <v>514</v>
      </c>
      <c r="G62" s="6" t="s">
        <v>18</v>
      </c>
      <c r="H62" s="6"/>
    </row>
    <row r="63" ht="15.75" customHeight="1">
      <c r="A63" s="5" t="s">
        <v>210</v>
      </c>
      <c r="B63" s="6" t="s">
        <v>144</v>
      </c>
      <c r="C63" s="6" t="s">
        <v>519</v>
      </c>
      <c r="D63" s="6" t="s">
        <v>520</v>
      </c>
      <c r="E63" s="6" t="s">
        <v>521</v>
      </c>
      <c r="F63" s="6" t="s">
        <v>522</v>
      </c>
      <c r="G63" s="6" t="s">
        <v>18</v>
      </c>
      <c r="H63" s="6"/>
    </row>
    <row r="64" ht="15.75" customHeight="1">
      <c r="A64" s="5" t="s">
        <v>210</v>
      </c>
      <c r="B64" s="6" t="s">
        <v>144</v>
      </c>
      <c r="C64" s="6" t="s">
        <v>528</v>
      </c>
      <c r="D64" s="6" t="s">
        <v>530</v>
      </c>
      <c r="E64" s="6" t="s">
        <v>531</v>
      </c>
      <c r="F64" s="6" t="s">
        <v>532</v>
      </c>
      <c r="G64" s="6" t="s">
        <v>18</v>
      </c>
      <c r="H64" s="6"/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H1"/>
  </mergeCells>
  <conditionalFormatting sqref="A3:A64">
    <cfRule type="expression" dxfId="5" priority="1">
      <formula>A3="Ready"</formula>
    </cfRule>
  </conditionalFormatting>
  <conditionalFormatting sqref="A3:A64">
    <cfRule type="expression" dxfId="6" priority="2">
      <formula>A3="In progress"</formula>
    </cfRule>
  </conditionalFormatting>
  <conditionalFormatting sqref="A3:A64">
    <cfRule type="expression" dxfId="7" priority="3">
      <formula>A3="Needs replacement"</formula>
    </cfRule>
  </conditionalFormatting>
  <conditionalFormatting sqref="A3:A64">
    <cfRule type="expression" dxfId="8" priority="4">
      <formula>A3="Optional"</formula>
    </cfRule>
  </conditionalFormatting>
  <conditionalFormatting sqref="A3:A64">
    <cfRule type="expression" dxfId="9" priority="5">
      <formula>A3="Skip"</formula>
    </cfRule>
  </conditionalFormatting>
  <dataValidations>
    <dataValidation type="list" allowBlank="1" sqref="A3:A64">
      <formula1>"Not started,In progress,Ready,Needs replacement,Optional,Skip"</formula1>
    </dataValidation>
    <dataValidation type="list" allowBlank="1" sqref="G3:G64">
      <formula1>"Core,Recommended,Optional"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7.0"/>
    <col customWidth="1" min="2" max="2" width="25.0"/>
    <col customWidth="1" min="3" max="4" width="38.0"/>
    <col customWidth="1" min="5" max="5" width="30.0"/>
    <col customWidth="1" min="6" max="6" width="48.0"/>
    <col customWidth="1" min="7" max="7" width="15.0"/>
    <col customWidth="1" min="8" max="8" width="28.0"/>
    <col customWidth="1" min="9" max="26" width="8.63"/>
  </cols>
  <sheetData>
    <row r="1">
      <c r="A1" s="1" t="s">
        <v>311</v>
      </c>
    </row>
    <row r="2">
      <c r="A2" s="2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4" t="s">
        <v>9</v>
      </c>
    </row>
    <row r="3">
      <c r="A3" s="6" t="s">
        <v>86</v>
      </c>
      <c r="B3" s="6" t="s">
        <v>11</v>
      </c>
      <c r="C3" s="6" t="s">
        <v>327</v>
      </c>
      <c r="D3" s="6" t="s">
        <v>329</v>
      </c>
      <c r="E3" s="6" t="s">
        <v>332</v>
      </c>
      <c r="F3" s="6" t="s">
        <v>334</v>
      </c>
      <c r="G3" s="6" t="s">
        <v>22</v>
      </c>
      <c r="H3" s="6"/>
    </row>
    <row r="4">
      <c r="A4" s="6" t="s">
        <v>86</v>
      </c>
      <c r="B4" s="6" t="s">
        <v>11</v>
      </c>
      <c r="C4" s="6" t="s">
        <v>343</v>
      </c>
      <c r="D4" s="6" t="s">
        <v>345</v>
      </c>
      <c r="E4" s="6" t="s">
        <v>332</v>
      </c>
      <c r="F4" s="6" t="s">
        <v>348</v>
      </c>
      <c r="G4" s="6" t="s">
        <v>22</v>
      </c>
      <c r="H4" s="6"/>
    </row>
    <row r="5">
      <c r="A5" s="6" t="s">
        <v>86</v>
      </c>
      <c r="B5" s="6" t="s">
        <v>11</v>
      </c>
      <c r="C5" s="6" t="s">
        <v>356</v>
      </c>
      <c r="D5" s="6" t="s">
        <v>358</v>
      </c>
      <c r="E5" s="6" t="s">
        <v>332</v>
      </c>
      <c r="F5" s="6" t="s">
        <v>363</v>
      </c>
      <c r="G5" s="6" t="s">
        <v>33</v>
      </c>
      <c r="H5" s="6"/>
    </row>
    <row r="6">
      <c r="A6" s="6" t="s">
        <v>86</v>
      </c>
      <c r="B6" s="6" t="s">
        <v>11</v>
      </c>
      <c r="C6" s="6" t="s">
        <v>369</v>
      </c>
      <c r="D6" s="6" t="s">
        <v>372</v>
      </c>
      <c r="E6" s="6" t="s">
        <v>332</v>
      </c>
      <c r="F6" s="6" t="s">
        <v>375</v>
      </c>
      <c r="G6" s="6" t="s">
        <v>18</v>
      </c>
      <c r="H6" s="6"/>
    </row>
    <row r="7">
      <c r="A7" s="6" t="s">
        <v>86</v>
      </c>
      <c r="B7" s="6" t="s">
        <v>11</v>
      </c>
      <c r="C7" s="6" t="s">
        <v>379</v>
      </c>
      <c r="D7" s="6" t="s">
        <v>381</v>
      </c>
      <c r="E7" s="6" t="s">
        <v>332</v>
      </c>
      <c r="F7" s="6" t="s">
        <v>387</v>
      </c>
      <c r="G7" s="6" t="s">
        <v>18</v>
      </c>
      <c r="H7" s="6"/>
    </row>
    <row r="8">
      <c r="A8" s="6" t="s">
        <v>86</v>
      </c>
      <c r="B8" s="6" t="s">
        <v>11</v>
      </c>
      <c r="C8" s="6" t="s">
        <v>393</v>
      </c>
      <c r="D8" s="6" t="s">
        <v>396</v>
      </c>
      <c r="E8" s="6" t="s">
        <v>332</v>
      </c>
      <c r="F8" s="6" t="s">
        <v>399</v>
      </c>
      <c r="G8" s="6" t="s">
        <v>18</v>
      </c>
      <c r="H8" s="6"/>
    </row>
    <row r="9">
      <c r="A9" s="6" t="s">
        <v>86</v>
      </c>
      <c r="B9" s="6" t="s">
        <v>11</v>
      </c>
      <c r="C9" s="6" t="s">
        <v>409</v>
      </c>
      <c r="D9" s="6" t="s">
        <v>410</v>
      </c>
      <c r="E9" s="6" t="s">
        <v>332</v>
      </c>
      <c r="F9" s="6" t="s">
        <v>412</v>
      </c>
      <c r="G9" s="6" t="s">
        <v>18</v>
      </c>
      <c r="H9" s="6"/>
    </row>
    <row r="10">
      <c r="A10" s="6" t="s">
        <v>86</v>
      </c>
      <c r="B10" s="6" t="s">
        <v>11</v>
      </c>
      <c r="C10" s="6" t="s">
        <v>422</v>
      </c>
      <c r="D10" s="6" t="s">
        <v>427</v>
      </c>
      <c r="E10" s="6" t="s">
        <v>332</v>
      </c>
      <c r="F10" s="6" t="s">
        <v>430</v>
      </c>
      <c r="G10" s="6" t="s">
        <v>18</v>
      </c>
      <c r="H10" s="6"/>
    </row>
    <row r="11">
      <c r="A11" s="6" t="s">
        <v>86</v>
      </c>
      <c r="B11" s="6" t="s">
        <v>11</v>
      </c>
      <c r="C11" s="6" t="s">
        <v>439</v>
      </c>
      <c r="D11" s="6" t="s">
        <v>441</v>
      </c>
      <c r="E11" s="6" t="s">
        <v>332</v>
      </c>
      <c r="F11" s="6" t="s">
        <v>446</v>
      </c>
      <c r="G11" s="6" t="s">
        <v>33</v>
      </c>
      <c r="H11" s="6"/>
    </row>
    <row r="12">
      <c r="A12" s="6" t="s">
        <v>86</v>
      </c>
      <c r="B12" s="6" t="s">
        <v>15</v>
      </c>
      <c r="C12" s="6" t="s">
        <v>451</v>
      </c>
      <c r="D12" s="6" t="s">
        <v>454</v>
      </c>
      <c r="E12" s="6" t="s">
        <v>456</v>
      </c>
      <c r="F12" s="6" t="s">
        <v>459</v>
      </c>
      <c r="G12" s="6" t="s">
        <v>18</v>
      </c>
      <c r="H12" s="6"/>
    </row>
    <row r="13">
      <c r="A13" s="6" t="s">
        <v>86</v>
      </c>
      <c r="B13" s="6" t="s">
        <v>15</v>
      </c>
      <c r="C13" s="6" t="s">
        <v>465</v>
      </c>
      <c r="D13" s="6" t="s">
        <v>467</v>
      </c>
      <c r="E13" s="6" t="s">
        <v>332</v>
      </c>
      <c r="F13" s="6" t="s">
        <v>468</v>
      </c>
      <c r="G13" s="6" t="s">
        <v>18</v>
      </c>
      <c r="H13" s="6"/>
    </row>
    <row r="14">
      <c r="A14" s="6" t="s">
        <v>86</v>
      </c>
      <c r="B14" s="6" t="s">
        <v>15</v>
      </c>
      <c r="C14" s="6" t="s">
        <v>477</v>
      </c>
      <c r="D14" s="6" t="s">
        <v>479</v>
      </c>
      <c r="E14" s="6" t="s">
        <v>332</v>
      </c>
      <c r="F14" s="6" t="s">
        <v>480</v>
      </c>
      <c r="G14" s="6" t="s">
        <v>18</v>
      </c>
      <c r="H14" s="6"/>
    </row>
    <row r="15">
      <c r="A15" s="6" t="s">
        <v>86</v>
      </c>
      <c r="B15" s="6" t="s">
        <v>15</v>
      </c>
      <c r="C15" s="6" t="s">
        <v>127</v>
      </c>
      <c r="D15" s="6" t="s">
        <v>487</v>
      </c>
      <c r="E15" s="6" t="s">
        <v>332</v>
      </c>
      <c r="F15" s="6" t="s">
        <v>489</v>
      </c>
      <c r="G15" s="6" t="s">
        <v>22</v>
      </c>
      <c r="H15" s="6"/>
    </row>
    <row r="16">
      <c r="A16" s="6" t="s">
        <v>86</v>
      </c>
      <c r="B16" s="6" t="s">
        <v>15</v>
      </c>
      <c r="C16" s="6" t="s">
        <v>138</v>
      </c>
      <c r="D16" s="6" t="s">
        <v>499</v>
      </c>
      <c r="E16" s="6" t="s">
        <v>332</v>
      </c>
      <c r="F16" s="6" t="s">
        <v>500</v>
      </c>
      <c r="G16" s="6" t="s">
        <v>18</v>
      </c>
      <c r="H16" s="6"/>
    </row>
    <row r="17">
      <c r="A17" s="6" t="s">
        <v>86</v>
      </c>
      <c r="B17" s="6" t="s">
        <v>15</v>
      </c>
      <c r="C17" s="6" t="s">
        <v>506</v>
      </c>
      <c r="D17" s="6" t="s">
        <v>508</v>
      </c>
      <c r="E17" s="6" t="s">
        <v>332</v>
      </c>
      <c r="F17" s="6" t="s">
        <v>509</v>
      </c>
      <c r="G17" s="6" t="s">
        <v>33</v>
      </c>
      <c r="H17" s="6"/>
    </row>
    <row r="18">
      <c r="A18" s="6" t="s">
        <v>86</v>
      </c>
      <c r="B18" s="6" t="s">
        <v>15</v>
      </c>
      <c r="C18" s="6" t="s">
        <v>515</v>
      </c>
      <c r="D18" s="6" t="s">
        <v>517</v>
      </c>
      <c r="E18" s="6" t="s">
        <v>332</v>
      </c>
      <c r="F18" s="6" t="s">
        <v>518</v>
      </c>
      <c r="G18" s="6" t="s">
        <v>33</v>
      </c>
      <c r="H18" s="6"/>
    </row>
    <row r="19">
      <c r="A19" s="6" t="s">
        <v>86</v>
      </c>
      <c r="B19" s="6" t="s">
        <v>15</v>
      </c>
      <c r="C19" s="6" t="s">
        <v>523</v>
      </c>
      <c r="D19" s="6" t="s">
        <v>524</v>
      </c>
      <c r="E19" s="6" t="s">
        <v>332</v>
      </c>
      <c r="F19" s="6" t="s">
        <v>526</v>
      </c>
      <c r="G19" s="6" t="s">
        <v>33</v>
      </c>
      <c r="H19" s="6"/>
    </row>
    <row r="20">
      <c r="A20" s="6" t="s">
        <v>86</v>
      </c>
      <c r="B20" s="6" t="s">
        <v>15</v>
      </c>
      <c r="C20" s="6" t="s">
        <v>533</v>
      </c>
      <c r="D20" s="6" t="s">
        <v>534</v>
      </c>
      <c r="E20" s="6" t="s">
        <v>332</v>
      </c>
      <c r="F20" s="6" t="s">
        <v>535</v>
      </c>
      <c r="G20" s="6" t="s">
        <v>33</v>
      </c>
      <c r="H20" s="6"/>
    </row>
    <row r="21" ht="15.75" customHeight="1">
      <c r="A21" s="6" t="s">
        <v>86</v>
      </c>
      <c r="B21" s="6" t="s">
        <v>15</v>
      </c>
      <c r="C21" s="6" t="s">
        <v>537</v>
      </c>
      <c r="D21" s="6" t="s">
        <v>538</v>
      </c>
      <c r="E21" s="6" t="s">
        <v>332</v>
      </c>
      <c r="F21" s="6" t="s">
        <v>539</v>
      </c>
      <c r="G21" s="6" t="s">
        <v>18</v>
      </c>
      <c r="H21" s="6"/>
    </row>
    <row r="22" ht="15.75" customHeight="1">
      <c r="A22" s="6" t="s">
        <v>86</v>
      </c>
      <c r="B22" s="6" t="s">
        <v>122</v>
      </c>
      <c r="C22" s="6" t="s">
        <v>543</v>
      </c>
      <c r="D22" s="6" t="s">
        <v>544</v>
      </c>
      <c r="E22" s="6" t="s">
        <v>456</v>
      </c>
      <c r="F22" s="6" t="s">
        <v>545</v>
      </c>
      <c r="G22" s="6" t="s">
        <v>18</v>
      </c>
      <c r="H22" s="6"/>
    </row>
    <row r="23" ht="15.75" customHeight="1">
      <c r="A23" s="6" t="s">
        <v>86</v>
      </c>
      <c r="B23" s="6" t="s">
        <v>122</v>
      </c>
      <c r="C23" s="6" t="s">
        <v>549</v>
      </c>
      <c r="D23" s="6" t="s">
        <v>550</v>
      </c>
      <c r="E23" s="6" t="s">
        <v>332</v>
      </c>
      <c r="F23" s="6" t="s">
        <v>551</v>
      </c>
      <c r="G23" s="6" t="s">
        <v>18</v>
      </c>
      <c r="H23" s="6"/>
    </row>
    <row r="24" ht="15.75" customHeight="1">
      <c r="A24" s="6" t="s">
        <v>86</v>
      </c>
      <c r="B24" s="6" t="s">
        <v>122</v>
      </c>
      <c r="C24" s="6" t="s">
        <v>555</v>
      </c>
      <c r="D24" s="6" t="s">
        <v>556</v>
      </c>
      <c r="E24" s="6" t="s">
        <v>332</v>
      </c>
      <c r="F24" s="6" t="s">
        <v>557</v>
      </c>
      <c r="G24" s="6" t="s">
        <v>18</v>
      </c>
      <c r="H24" s="6"/>
    </row>
    <row r="25" ht="15.75" customHeight="1">
      <c r="A25" s="6" t="s">
        <v>86</v>
      </c>
      <c r="B25" s="6" t="s">
        <v>122</v>
      </c>
      <c r="C25" s="6" t="s">
        <v>318</v>
      </c>
      <c r="D25" s="6" t="s">
        <v>561</v>
      </c>
      <c r="E25" s="6" t="s">
        <v>332</v>
      </c>
      <c r="F25" s="6" t="s">
        <v>562</v>
      </c>
      <c r="G25" s="6" t="s">
        <v>22</v>
      </c>
      <c r="H25" s="6"/>
    </row>
    <row r="26" ht="15.75" customHeight="1">
      <c r="A26" s="6" t="s">
        <v>86</v>
      </c>
      <c r="B26" s="6" t="s">
        <v>122</v>
      </c>
      <c r="C26" s="6" t="s">
        <v>565</v>
      </c>
      <c r="D26" s="6" t="s">
        <v>567</v>
      </c>
      <c r="E26" s="6" t="s">
        <v>332</v>
      </c>
      <c r="F26" s="6" t="s">
        <v>568</v>
      </c>
      <c r="G26" s="6" t="s">
        <v>33</v>
      </c>
      <c r="H26" s="6"/>
    </row>
    <row r="27" ht="15.75" customHeight="1">
      <c r="A27" s="6" t="s">
        <v>86</v>
      </c>
      <c r="B27" s="6" t="s">
        <v>122</v>
      </c>
      <c r="C27" s="6" t="s">
        <v>571</v>
      </c>
      <c r="D27" s="6" t="s">
        <v>573</v>
      </c>
      <c r="E27" s="6" t="s">
        <v>332</v>
      </c>
      <c r="F27" s="6" t="s">
        <v>574</v>
      </c>
      <c r="G27" s="6" t="s">
        <v>33</v>
      </c>
      <c r="H27" s="6"/>
    </row>
    <row r="28" ht="15.75" customHeight="1">
      <c r="A28" s="6" t="s">
        <v>86</v>
      </c>
      <c r="B28" s="6" t="s">
        <v>122</v>
      </c>
      <c r="C28" s="6" t="s">
        <v>577</v>
      </c>
      <c r="D28" s="6" t="s">
        <v>578</v>
      </c>
      <c r="E28" s="6" t="s">
        <v>332</v>
      </c>
      <c r="F28" s="6" t="s">
        <v>579</v>
      </c>
      <c r="G28" s="6" t="s">
        <v>33</v>
      </c>
      <c r="H28" s="6"/>
    </row>
    <row r="29" ht="15.75" customHeight="1">
      <c r="A29" s="6" t="s">
        <v>86</v>
      </c>
      <c r="B29" s="6" t="s">
        <v>122</v>
      </c>
      <c r="C29" s="6" t="s">
        <v>582</v>
      </c>
      <c r="D29" s="6" t="s">
        <v>583</v>
      </c>
      <c r="E29" s="6" t="s">
        <v>332</v>
      </c>
      <c r="F29" s="6" t="s">
        <v>584</v>
      </c>
      <c r="G29" s="6" t="s">
        <v>18</v>
      </c>
      <c r="H29" s="6"/>
    </row>
    <row r="30" ht="15.75" customHeight="1">
      <c r="A30" s="6" t="s">
        <v>86</v>
      </c>
      <c r="B30" s="6" t="s">
        <v>144</v>
      </c>
      <c r="C30" s="6" t="s">
        <v>588</v>
      </c>
      <c r="D30" s="6" t="s">
        <v>589</v>
      </c>
      <c r="E30" s="6" t="s">
        <v>456</v>
      </c>
      <c r="F30" s="6" t="s">
        <v>590</v>
      </c>
      <c r="G30" s="6" t="s">
        <v>18</v>
      </c>
      <c r="H30" s="6"/>
    </row>
    <row r="31" ht="15.75" customHeight="1">
      <c r="A31" s="6" t="s">
        <v>86</v>
      </c>
      <c r="B31" s="6" t="s">
        <v>144</v>
      </c>
      <c r="C31" s="6" t="s">
        <v>594</v>
      </c>
      <c r="D31" s="6" t="s">
        <v>595</v>
      </c>
      <c r="E31" s="6" t="s">
        <v>332</v>
      </c>
      <c r="F31" s="6" t="s">
        <v>596</v>
      </c>
      <c r="G31" s="6" t="s">
        <v>22</v>
      </c>
      <c r="H31" s="6"/>
    </row>
    <row r="32" ht="15.75" customHeight="1">
      <c r="A32" s="6" t="s">
        <v>86</v>
      </c>
      <c r="B32" s="6" t="s">
        <v>144</v>
      </c>
      <c r="C32" s="6" t="s">
        <v>482</v>
      </c>
      <c r="D32" s="6" t="s">
        <v>600</v>
      </c>
      <c r="E32" s="6" t="s">
        <v>332</v>
      </c>
      <c r="F32" s="6" t="s">
        <v>602</v>
      </c>
      <c r="G32" s="6" t="s">
        <v>18</v>
      </c>
      <c r="H32" s="6"/>
    </row>
    <row r="33" ht="15.75" customHeight="1">
      <c r="A33" s="6" t="s">
        <v>86</v>
      </c>
      <c r="B33" s="6" t="s">
        <v>144</v>
      </c>
      <c r="C33" s="6" t="s">
        <v>606</v>
      </c>
      <c r="D33" s="6" t="s">
        <v>607</v>
      </c>
      <c r="E33" s="6" t="s">
        <v>332</v>
      </c>
      <c r="F33" s="6" t="s">
        <v>608</v>
      </c>
      <c r="G33" s="6" t="s">
        <v>22</v>
      </c>
      <c r="H33" s="6"/>
    </row>
    <row r="34" ht="15.75" customHeight="1">
      <c r="A34" s="6" t="s">
        <v>86</v>
      </c>
      <c r="B34" s="6" t="s">
        <v>144</v>
      </c>
      <c r="C34" s="6" t="s">
        <v>421</v>
      </c>
      <c r="D34" s="6" t="s">
        <v>612</v>
      </c>
      <c r="E34" s="6" t="s">
        <v>332</v>
      </c>
      <c r="F34" s="6" t="s">
        <v>614</v>
      </c>
      <c r="G34" s="6" t="s">
        <v>18</v>
      </c>
      <c r="H34" s="6"/>
    </row>
    <row r="35" ht="15.75" customHeight="1">
      <c r="A35" s="6" t="s">
        <v>86</v>
      </c>
      <c r="B35" s="6" t="s">
        <v>144</v>
      </c>
      <c r="C35" s="6" t="s">
        <v>616</v>
      </c>
      <c r="D35" s="6" t="s">
        <v>617</v>
      </c>
      <c r="E35" s="6" t="s">
        <v>332</v>
      </c>
      <c r="F35" s="6" t="s">
        <v>618</v>
      </c>
      <c r="G35" s="6" t="s">
        <v>18</v>
      </c>
      <c r="H35" s="6"/>
    </row>
    <row r="36" ht="15.75" customHeight="1">
      <c r="A36" s="6" t="s">
        <v>86</v>
      </c>
      <c r="B36" s="6" t="s">
        <v>144</v>
      </c>
      <c r="C36" s="6" t="s">
        <v>622</v>
      </c>
      <c r="D36" s="6" t="s">
        <v>623</v>
      </c>
      <c r="E36" s="6" t="s">
        <v>332</v>
      </c>
      <c r="F36" s="6" t="s">
        <v>626</v>
      </c>
      <c r="G36" s="6" t="s">
        <v>33</v>
      </c>
      <c r="H36" s="6"/>
    </row>
    <row r="37" ht="15.75" customHeight="1">
      <c r="A37" s="6" t="s">
        <v>86</v>
      </c>
      <c r="B37" s="6" t="s">
        <v>144</v>
      </c>
      <c r="C37" s="6" t="s">
        <v>628</v>
      </c>
      <c r="D37" s="6" t="s">
        <v>629</v>
      </c>
      <c r="E37" s="6" t="s">
        <v>332</v>
      </c>
      <c r="F37" s="6" t="s">
        <v>631</v>
      </c>
      <c r="G37" s="6" t="s">
        <v>33</v>
      </c>
      <c r="H37" s="6"/>
    </row>
    <row r="38" ht="15.75" customHeight="1">
      <c r="A38" s="6" t="s">
        <v>86</v>
      </c>
      <c r="B38" s="6" t="s">
        <v>144</v>
      </c>
      <c r="C38" s="6" t="s">
        <v>424</v>
      </c>
      <c r="D38" s="6" t="s">
        <v>634</v>
      </c>
      <c r="E38" s="6" t="s">
        <v>332</v>
      </c>
      <c r="F38" s="6" t="s">
        <v>635</v>
      </c>
      <c r="G38" s="6" t="s">
        <v>33</v>
      </c>
      <c r="H38" s="6"/>
    </row>
    <row r="39" ht="15.75" customHeight="1">
      <c r="A39" s="6" t="s">
        <v>86</v>
      </c>
      <c r="B39" s="6" t="s">
        <v>144</v>
      </c>
      <c r="C39" s="6" t="s">
        <v>416</v>
      </c>
      <c r="D39" s="6" t="s">
        <v>638</v>
      </c>
      <c r="E39" s="6" t="s">
        <v>332</v>
      </c>
      <c r="F39" s="6" t="s">
        <v>641</v>
      </c>
      <c r="G39" s="6" t="s">
        <v>33</v>
      </c>
      <c r="H39" s="6"/>
    </row>
    <row r="40" ht="15.75" customHeight="1">
      <c r="A40" s="6" t="s">
        <v>86</v>
      </c>
      <c r="B40" s="6" t="s">
        <v>144</v>
      </c>
      <c r="C40" s="6" t="s">
        <v>643</v>
      </c>
      <c r="D40" s="6" t="s">
        <v>645</v>
      </c>
      <c r="E40" s="6" t="s">
        <v>332</v>
      </c>
      <c r="F40" s="6" t="s">
        <v>647</v>
      </c>
      <c r="G40" s="6" t="s">
        <v>33</v>
      </c>
      <c r="H40" s="6"/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H1"/>
  </mergeCells>
  <conditionalFormatting sqref="A3:A40">
    <cfRule type="expression" dxfId="5" priority="1">
      <formula>A3="Ready"</formula>
    </cfRule>
  </conditionalFormatting>
  <conditionalFormatting sqref="A3:A40">
    <cfRule type="expression" dxfId="6" priority="2">
      <formula>A3="In progress"</formula>
    </cfRule>
  </conditionalFormatting>
  <conditionalFormatting sqref="A3:A40">
    <cfRule type="expression" dxfId="7" priority="3">
      <formula>A3="Needs replacement"</formula>
    </cfRule>
  </conditionalFormatting>
  <conditionalFormatting sqref="A3:A40">
    <cfRule type="expression" dxfId="8" priority="4">
      <formula>A3="Optional"</formula>
    </cfRule>
  </conditionalFormatting>
  <conditionalFormatting sqref="A3:A40">
    <cfRule type="expression" dxfId="9" priority="5">
      <formula>A3="Skip"</formula>
    </cfRule>
  </conditionalFormatting>
  <dataValidations>
    <dataValidation type="list" allowBlank="1" sqref="A3:A40">
      <formula1>"Not started,In progress,Ready,Needs replacement,Optional,Skip"</formula1>
    </dataValidation>
    <dataValidation type="list" allowBlank="1" sqref="G3:G40">
      <formula1>"Core,Recommended,Optional"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7.0"/>
    <col customWidth="1" min="2" max="2" width="25.0"/>
    <col customWidth="1" min="3" max="4" width="38.0"/>
    <col customWidth="1" min="5" max="5" width="30.0"/>
    <col customWidth="1" min="6" max="6" width="48.0"/>
    <col customWidth="1" min="7" max="7" width="15.0"/>
    <col customWidth="1" min="8" max="8" width="28.0"/>
    <col customWidth="1" min="9" max="26" width="8.63"/>
  </cols>
  <sheetData>
    <row r="1">
      <c r="A1" s="1" t="s">
        <v>310</v>
      </c>
    </row>
    <row r="2">
      <c r="A2" s="2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4" t="s">
        <v>9</v>
      </c>
    </row>
    <row r="3">
      <c r="A3" s="6" t="s">
        <v>86</v>
      </c>
      <c r="B3" s="6" t="s">
        <v>11</v>
      </c>
      <c r="C3" s="6" t="s">
        <v>328</v>
      </c>
      <c r="D3" s="6" t="s">
        <v>330</v>
      </c>
      <c r="E3" s="6" t="s">
        <v>335</v>
      </c>
      <c r="F3" s="6" t="s">
        <v>336</v>
      </c>
      <c r="G3" s="6" t="s">
        <v>18</v>
      </c>
      <c r="H3" s="6"/>
    </row>
    <row r="4">
      <c r="A4" s="6" t="s">
        <v>86</v>
      </c>
      <c r="B4" s="6" t="s">
        <v>11</v>
      </c>
      <c r="C4" s="6" t="s">
        <v>346</v>
      </c>
      <c r="D4" s="6" t="s">
        <v>347</v>
      </c>
      <c r="E4" s="6" t="s">
        <v>335</v>
      </c>
      <c r="F4" s="6" t="s">
        <v>350</v>
      </c>
      <c r="G4" s="6" t="s">
        <v>22</v>
      </c>
      <c r="H4" s="6"/>
    </row>
    <row r="5">
      <c r="A5" s="6" t="s">
        <v>86</v>
      </c>
      <c r="B5" s="6" t="s">
        <v>11</v>
      </c>
      <c r="C5" s="6" t="s">
        <v>359</v>
      </c>
      <c r="D5" s="6" t="s">
        <v>361</v>
      </c>
      <c r="E5" s="6" t="s">
        <v>335</v>
      </c>
      <c r="F5" s="6" t="s">
        <v>364</v>
      </c>
      <c r="G5" s="6" t="s">
        <v>33</v>
      </c>
      <c r="H5" s="6"/>
    </row>
    <row r="6">
      <c r="A6" s="6" t="s">
        <v>86</v>
      </c>
      <c r="B6" s="6" t="s">
        <v>11</v>
      </c>
      <c r="C6" s="6" t="s">
        <v>371</v>
      </c>
      <c r="D6" s="6" t="s">
        <v>373</v>
      </c>
      <c r="E6" s="6" t="s">
        <v>335</v>
      </c>
      <c r="F6" s="6" t="s">
        <v>376</v>
      </c>
      <c r="G6" s="6" t="s">
        <v>33</v>
      </c>
      <c r="H6" s="6"/>
    </row>
    <row r="7">
      <c r="A7" s="6" t="s">
        <v>86</v>
      </c>
      <c r="B7" s="6" t="s">
        <v>11</v>
      </c>
      <c r="C7" s="6" t="s">
        <v>383</v>
      </c>
      <c r="D7" s="6" t="s">
        <v>386</v>
      </c>
      <c r="E7" s="6" t="s">
        <v>335</v>
      </c>
      <c r="F7" s="6" t="s">
        <v>390</v>
      </c>
      <c r="G7" s="6" t="s">
        <v>33</v>
      </c>
      <c r="H7" s="6"/>
    </row>
    <row r="8">
      <c r="A8" s="6" t="s">
        <v>86</v>
      </c>
      <c r="B8" s="6" t="s">
        <v>11</v>
      </c>
      <c r="C8" s="6" t="s">
        <v>400</v>
      </c>
      <c r="D8" s="6" t="s">
        <v>401</v>
      </c>
      <c r="E8" s="6" t="s">
        <v>335</v>
      </c>
      <c r="F8" s="6" t="s">
        <v>405</v>
      </c>
      <c r="G8" s="6" t="s">
        <v>33</v>
      </c>
      <c r="H8" s="6"/>
    </row>
    <row r="9">
      <c r="A9" s="6" t="s">
        <v>86</v>
      </c>
      <c r="B9" s="6" t="s">
        <v>11</v>
      </c>
      <c r="C9" s="6" t="s">
        <v>411</v>
      </c>
      <c r="D9" s="6" t="s">
        <v>414</v>
      </c>
      <c r="E9" s="6" t="s">
        <v>335</v>
      </c>
      <c r="F9" s="6" t="s">
        <v>419</v>
      </c>
      <c r="G9" s="6" t="s">
        <v>33</v>
      </c>
      <c r="H9" s="6"/>
    </row>
    <row r="10">
      <c r="A10" s="6" t="s">
        <v>86</v>
      </c>
      <c r="B10" s="6" t="s">
        <v>11</v>
      </c>
      <c r="C10" s="6" t="s">
        <v>429</v>
      </c>
      <c r="D10" s="6" t="s">
        <v>431</v>
      </c>
      <c r="E10" s="6" t="s">
        <v>335</v>
      </c>
      <c r="F10" s="6" t="s">
        <v>434</v>
      </c>
      <c r="G10" s="6" t="s">
        <v>18</v>
      </c>
      <c r="H10" s="6"/>
    </row>
    <row r="11">
      <c r="A11" s="6" t="s">
        <v>86</v>
      </c>
      <c r="B11" s="6" t="s">
        <v>11</v>
      </c>
      <c r="C11" s="6" t="s">
        <v>440</v>
      </c>
      <c r="D11" s="6" t="s">
        <v>442</v>
      </c>
      <c r="E11" s="6" t="s">
        <v>335</v>
      </c>
      <c r="F11" s="6" t="s">
        <v>447</v>
      </c>
      <c r="G11" s="6" t="s">
        <v>33</v>
      </c>
      <c r="H11" s="6"/>
    </row>
    <row r="12">
      <c r="A12" s="6" t="s">
        <v>86</v>
      </c>
      <c r="B12" s="6" t="s">
        <v>11</v>
      </c>
      <c r="C12" s="6" t="s">
        <v>453</v>
      </c>
      <c r="D12" s="6" t="s">
        <v>457</v>
      </c>
      <c r="E12" s="6" t="s">
        <v>335</v>
      </c>
      <c r="F12" s="6" t="s">
        <v>447</v>
      </c>
      <c r="G12" s="6" t="s">
        <v>33</v>
      </c>
      <c r="H12" s="6"/>
    </row>
    <row r="13">
      <c r="A13" s="6" t="s">
        <v>86</v>
      </c>
      <c r="B13" s="6" t="s">
        <v>11</v>
      </c>
      <c r="C13" s="6" t="s">
        <v>469</v>
      </c>
      <c r="D13" s="6" t="s">
        <v>470</v>
      </c>
      <c r="E13" s="6" t="s">
        <v>335</v>
      </c>
      <c r="F13" s="6" t="s">
        <v>475</v>
      </c>
      <c r="G13" s="6" t="s">
        <v>33</v>
      </c>
      <c r="H13" s="6"/>
    </row>
    <row r="14">
      <c r="A14" s="6" t="s">
        <v>86</v>
      </c>
      <c r="B14" s="6" t="s">
        <v>11</v>
      </c>
      <c r="C14" s="6" t="s">
        <v>481</v>
      </c>
      <c r="D14" s="6" t="s">
        <v>484</v>
      </c>
      <c r="E14" s="6" t="s">
        <v>335</v>
      </c>
      <c r="F14" s="6" t="s">
        <v>447</v>
      </c>
      <c r="G14" s="6" t="s">
        <v>33</v>
      </c>
      <c r="H14" s="6"/>
    </row>
    <row r="15">
      <c r="A15" s="6" t="s">
        <v>86</v>
      </c>
      <c r="B15" s="6" t="s">
        <v>491</v>
      </c>
      <c r="C15" s="6" t="s">
        <v>494</v>
      </c>
      <c r="D15" s="6"/>
      <c r="E15" s="6" t="s">
        <v>496</v>
      </c>
      <c r="F15" s="6" t="s">
        <v>498</v>
      </c>
      <c r="G15" s="6" t="s">
        <v>22</v>
      </c>
      <c r="H15" s="6"/>
    </row>
    <row r="16">
      <c r="A16" s="6" t="s">
        <v>86</v>
      </c>
      <c r="B16" s="6" t="s">
        <v>491</v>
      </c>
      <c r="C16" s="6" t="s">
        <v>502</v>
      </c>
      <c r="D16" s="6" t="s">
        <v>504</v>
      </c>
      <c r="E16" s="6" t="s">
        <v>335</v>
      </c>
      <c r="F16" s="6" t="s">
        <v>507</v>
      </c>
      <c r="G16" s="6" t="s">
        <v>22</v>
      </c>
      <c r="H16" s="6"/>
    </row>
    <row r="17">
      <c r="A17" s="6" t="s">
        <v>86</v>
      </c>
      <c r="B17" s="6" t="s">
        <v>491</v>
      </c>
      <c r="C17" s="6" t="s">
        <v>512</v>
      </c>
      <c r="D17" s="6" t="s">
        <v>513</v>
      </c>
      <c r="E17" s="6" t="s">
        <v>335</v>
      </c>
      <c r="F17" s="6" t="s">
        <v>516</v>
      </c>
      <c r="G17" s="6" t="s">
        <v>22</v>
      </c>
      <c r="H17" s="6"/>
    </row>
    <row r="18">
      <c r="A18" s="6" t="s">
        <v>86</v>
      </c>
      <c r="B18" s="6" t="s">
        <v>491</v>
      </c>
      <c r="C18" s="6" t="s">
        <v>525</v>
      </c>
      <c r="D18" s="6" t="s">
        <v>527</v>
      </c>
      <c r="E18" s="6" t="s">
        <v>335</v>
      </c>
      <c r="F18" s="6" t="s">
        <v>529</v>
      </c>
      <c r="G18" s="6" t="s">
        <v>22</v>
      </c>
      <c r="H18" s="6"/>
    </row>
    <row r="19">
      <c r="A19" s="6" t="s">
        <v>86</v>
      </c>
      <c r="B19" s="6" t="s">
        <v>491</v>
      </c>
      <c r="C19" s="6" t="s">
        <v>328</v>
      </c>
      <c r="D19" s="6" t="s">
        <v>536</v>
      </c>
      <c r="E19" s="6" t="s">
        <v>335</v>
      </c>
      <c r="F19" s="6" t="s">
        <v>336</v>
      </c>
      <c r="G19" s="6" t="s">
        <v>22</v>
      </c>
      <c r="H19" s="6"/>
    </row>
    <row r="20">
      <c r="A20" s="6" t="s">
        <v>86</v>
      </c>
      <c r="B20" s="6" t="s">
        <v>491</v>
      </c>
      <c r="C20" s="6" t="s">
        <v>540</v>
      </c>
      <c r="D20" s="6" t="s">
        <v>541</v>
      </c>
      <c r="E20" s="6" t="s">
        <v>335</v>
      </c>
      <c r="F20" s="6" t="s">
        <v>542</v>
      </c>
      <c r="G20" s="6" t="s">
        <v>22</v>
      </c>
      <c r="H20" s="6"/>
    </row>
    <row r="21" ht="15.75" customHeight="1">
      <c r="A21" s="6" t="s">
        <v>86</v>
      </c>
      <c r="B21" s="6" t="s">
        <v>491</v>
      </c>
      <c r="C21" s="6" t="s">
        <v>546</v>
      </c>
      <c r="D21" s="6" t="s">
        <v>547</v>
      </c>
      <c r="E21" s="6" t="s">
        <v>335</v>
      </c>
      <c r="F21" s="6" t="s">
        <v>548</v>
      </c>
      <c r="G21" s="6" t="s">
        <v>22</v>
      </c>
      <c r="H21" s="6"/>
    </row>
    <row r="22" ht="15.75" customHeight="1">
      <c r="A22" s="6" t="s">
        <v>86</v>
      </c>
      <c r="B22" s="6" t="s">
        <v>491</v>
      </c>
      <c r="C22" s="6" t="s">
        <v>552</v>
      </c>
      <c r="D22" s="6" t="s">
        <v>553</v>
      </c>
      <c r="E22" s="6" t="s">
        <v>335</v>
      </c>
      <c r="F22" s="6" t="s">
        <v>554</v>
      </c>
      <c r="G22" s="6" t="s">
        <v>22</v>
      </c>
      <c r="H22" s="6"/>
    </row>
    <row r="23" ht="15.75" customHeight="1">
      <c r="A23" s="6" t="s">
        <v>86</v>
      </c>
      <c r="B23" s="6" t="s">
        <v>491</v>
      </c>
      <c r="C23" s="6" t="s">
        <v>558</v>
      </c>
      <c r="D23" s="6" t="s">
        <v>559</v>
      </c>
      <c r="E23" s="6" t="s">
        <v>335</v>
      </c>
      <c r="F23" s="6" t="s">
        <v>560</v>
      </c>
      <c r="G23" s="6" t="s">
        <v>22</v>
      </c>
      <c r="H23" s="6"/>
    </row>
    <row r="24" ht="15.75" customHeight="1">
      <c r="A24" s="6" t="s">
        <v>86</v>
      </c>
      <c r="B24" s="6" t="s">
        <v>491</v>
      </c>
      <c r="C24" s="6" t="s">
        <v>563</v>
      </c>
      <c r="D24" s="6" t="s">
        <v>564</v>
      </c>
      <c r="E24" s="6" t="s">
        <v>335</v>
      </c>
      <c r="F24" s="6" t="s">
        <v>566</v>
      </c>
      <c r="G24" s="6" t="s">
        <v>22</v>
      </c>
      <c r="H24" s="6"/>
    </row>
    <row r="25" ht="15.75" customHeight="1">
      <c r="A25" s="6" t="s">
        <v>86</v>
      </c>
      <c r="B25" s="6" t="s">
        <v>491</v>
      </c>
      <c r="C25" s="6" t="s">
        <v>569</v>
      </c>
      <c r="D25" s="6" t="s">
        <v>570</v>
      </c>
      <c r="E25" s="6" t="s">
        <v>335</v>
      </c>
      <c r="F25" s="6" t="s">
        <v>572</v>
      </c>
      <c r="G25" s="6" t="s">
        <v>22</v>
      </c>
      <c r="H25" s="6"/>
    </row>
    <row r="26" ht="15.75" customHeight="1">
      <c r="A26" s="6" t="s">
        <v>86</v>
      </c>
      <c r="B26" s="6" t="s">
        <v>491</v>
      </c>
      <c r="C26" s="6" t="s">
        <v>575</v>
      </c>
      <c r="D26" s="6" t="s">
        <v>576</v>
      </c>
      <c r="E26" s="6" t="s">
        <v>335</v>
      </c>
      <c r="F26" s="6" t="s">
        <v>572</v>
      </c>
      <c r="G26" s="6" t="s">
        <v>22</v>
      </c>
      <c r="H26" s="6"/>
    </row>
    <row r="27" ht="15.75" customHeight="1">
      <c r="A27" s="6" t="s">
        <v>86</v>
      </c>
      <c r="B27" s="6" t="s">
        <v>491</v>
      </c>
      <c r="C27" s="6" t="s">
        <v>580</v>
      </c>
      <c r="D27" s="6" t="s">
        <v>581</v>
      </c>
      <c r="E27" s="6" t="s">
        <v>335</v>
      </c>
      <c r="F27" s="6" t="s">
        <v>572</v>
      </c>
      <c r="G27" s="6" t="s">
        <v>22</v>
      </c>
      <c r="H27" s="6"/>
    </row>
    <row r="28" ht="15.75" customHeight="1">
      <c r="A28" s="6" t="s">
        <v>86</v>
      </c>
      <c r="B28" s="6" t="s">
        <v>491</v>
      </c>
      <c r="C28" s="6" t="s">
        <v>585</v>
      </c>
      <c r="D28" s="6" t="s">
        <v>586</v>
      </c>
      <c r="E28" s="6" t="s">
        <v>335</v>
      </c>
      <c r="F28" s="6" t="s">
        <v>587</v>
      </c>
      <c r="G28" s="6" t="s">
        <v>22</v>
      </c>
      <c r="H28" s="6"/>
    </row>
    <row r="29" ht="15.75" customHeight="1">
      <c r="A29" s="6" t="s">
        <v>86</v>
      </c>
      <c r="B29" s="6" t="s">
        <v>491</v>
      </c>
      <c r="C29" s="6" t="s">
        <v>591</v>
      </c>
      <c r="D29" s="6" t="s">
        <v>592</v>
      </c>
      <c r="E29" s="6" t="s">
        <v>335</v>
      </c>
      <c r="F29" s="6" t="s">
        <v>593</v>
      </c>
      <c r="G29" s="6" t="s">
        <v>18</v>
      </c>
      <c r="H29" s="6"/>
    </row>
    <row r="30" ht="15.75" customHeight="1">
      <c r="A30" s="6" t="s">
        <v>86</v>
      </c>
      <c r="B30" s="6" t="s">
        <v>491</v>
      </c>
      <c r="C30" s="6" t="s">
        <v>597</v>
      </c>
      <c r="D30" s="6" t="s">
        <v>598</v>
      </c>
      <c r="E30" s="6" t="s">
        <v>335</v>
      </c>
      <c r="F30" s="6" t="s">
        <v>599</v>
      </c>
      <c r="G30" s="6" t="s">
        <v>22</v>
      </c>
      <c r="H30" s="6"/>
    </row>
    <row r="31" ht="15.75" customHeight="1">
      <c r="A31" s="6" t="s">
        <v>86</v>
      </c>
      <c r="B31" s="6" t="s">
        <v>601</v>
      </c>
      <c r="C31" s="6" t="s">
        <v>603</v>
      </c>
      <c r="D31" s="6" t="s">
        <v>604</v>
      </c>
      <c r="E31" s="6" t="s">
        <v>335</v>
      </c>
      <c r="F31" s="6" t="s">
        <v>605</v>
      </c>
      <c r="G31" s="6" t="s">
        <v>18</v>
      </c>
      <c r="H31" s="6"/>
    </row>
    <row r="32" ht="15.75" customHeight="1">
      <c r="A32" s="6" t="s">
        <v>86</v>
      </c>
      <c r="B32" s="6" t="s">
        <v>601</v>
      </c>
      <c r="C32" s="6" t="s">
        <v>609</v>
      </c>
      <c r="D32" s="6" t="s">
        <v>610</v>
      </c>
      <c r="E32" s="6" t="s">
        <v>335</v>
      </c>
      <c r="F32" s="6" t="s">
        <v>611</v>
      </c>
      <c r="G32" s="6" t="s">
        <v>33</v>
      </c>
      <c r="H32" s="6"/>
    </row>
    <row r="33" ht="15.75" customHeight="1">
      <c r="A33" s="6" t="s">
        <v>86</v>
      </c>
      <c r="B33" s="6" t="s">
        <v>601</v>
      </c>
      <c r="C33" s="6" t="s">
        <v>613</v>
      </c>
      <c r="D33" s="6" t="s">
        <v>615</v>
      </c>
      <c r="E33" s="6" t="s">
        <v>335</v>
      </c>
      <c r="F33" s="6" t="s">
        <v>611</v>
      </c>
      <c r="G33" s="6" t="s">
        <v>33</v>
      </c>
      <c r="H33" s="6"/>
    </row>
    <row r="34" ht="15.75" customHeight="1">
      <c r="A34" s="6" t="s">
        <v>86</v>
      </c>
      <c r="B34" s="6" t="s">
        <v>601</v>
      </c>
      <c r="C34" s="6" t="s">
        <v>619</v>
      </c>
      <c r="D34" s="6" t="s">
        <v>620</v>
      </c>
      <c r="E34" s="6" t="s">
        <v>335</v>
      </c>
      <c r="F34" s="6" t="s">
        <v>621</v>
      </c>
      <c r="G34" s="6" t="s">
        <v>33</v>
      </c>
      <c r="H34" s="6"/>
    </row>
    <row r="35" ht="15.75" customHeight="1">
      <c r="A35" s="6" t="s">
        <v>86</v>
      </c>
      <c r="B35" s="6" t="s">
        <v>601</v>
      </c>
      <c r="C35" s="6" t="s">
        <v>624</v>
      </c>
      <c r="D35" s="6" t="s">
        <v>625</v>
      </c>
      <c r="E35" s="6" t="s">
        <v>335</v>
      </c>
      <c r="F35" s="6" t="s">
        <v>627</v>
      </c>
      <c r="G35" s="6" t="s">
        <v>33</v>
      </c>
      <c r="H35" s="6"/>
    </row>
    <row r="36" ht="15.75" customHeight="1">
      <c r="A36" s="6" t="s">
        <v>86</v>
      </c>
      <c r="B36" s="6" t="s">
        <v>601</v>
      </c>
      <c r="C36" s="6" t="s">
        <v>630</v>
      </c>
      <c r="D36" s="6" t="s">
        <v>632</v>
      </c>
      <c r="E36" s="6" t="s">
        <v>335</v>
      </c>
      <c r="F36" s="6" t="s">
        <v>633</v>
      </c>
      <c r="G36" s="6" t="s">
        <v>33</v>
      </c>
      <c r="H36" s="6"/>
    </row>
    <row r="37" ht="15.75" customHeight="1">
      <c r="A37" s="6" t="s">
        <v>86</v>
      </c>
      <c r="B37" s="6" t="s">
        <v>601</v>
      </c>
      <c r="C37" s="6" t="s">
        <v>636</v>
      </c>
      <c r="D37" s="6" t="s">
        <v>637</v>
      </c>
      <c r="E37" s="6" t="s">
        <v>335</v>
      </c>
      <c r="F37" s="6" t="s">
        <v>633</v>
      </c>
      <c r="G37" s="6" t="s">
        <v>33</v>
      </c>
      <c r="H37" s="6"/>
    </row>
    <row r="38" ht="15.75" customHeight="1">
      <c r="A38" s="6" t="s">
        <v>86</v>
      </c>
      <c r="B38" s="6" t="s">
        <v>601</v>
      </c>
      <c r="C38" s="6" t="s">
        <v>639</v>
      </c>
      <c r="D38" s="6" t="s">
        <v>640</v>
      </c>
      <c r="E38" s="6" t="s">
        <v>335</v>
      </c>
      <c r="F38" s="6" t="s">
        <v>633</v>
      </c>
      <c r="G38" s="6" t="s">
        <v>33</v>
      </c>
      <c r="H38" s="6"/>
    </row>
    <row r="39" ht="15.75" customHeight="1">
      <c r="A39" s="6" t="s">
        <v>86</v>
      </c>
      <c r="B39" s="6" t="s">
        <v>642</v>
      </c>
      <c r="C39" s="6" t="s">
        <v>644</v>
      </c>
      <c r="D39" s="6" t="s">
        <v>646</v>
      </c>
      <c r="E39" s="6" t="s">
        <v>335</v>
      </c>
      <c r="F39" s="6" t="s">
        <v>648</v>
      </c>
      <c r="G39" s="6" t="s">
        <v>33</v>
      </c>
      <c r="H39" s="6"/>
    </row>
    <row r="40" ht="15.75" customHeight="1">
      <c r="A40" s="6" t="s">
        <v>86</v>
      </c>
      <c r="B40" s="6" t="s">
        <v>642</v>
      </c>
      <c r="C40" s="6" t="s">
        <v>649</v>
      </c>
      <c r="D40" s="6" t="s">
        <v>650</v>
      </c>
      <c r="E40" s="6" t="s">
        <v>335</v>
      </c>
      <c r="F40" s="6" t="s">
        <v>651</v>
      </c>
      <c r="G40" s="6" t="s">
        <v>33</v>
      </c>
      <c r="H40" s="6"/>
    </row>
    <row r="41" ht="15.75" customHeight="1">
      <c r="A41" s="6" t="s">
        <v>86</v>
      </c>
      <c r="B41" s="6" t="s">
        <v>642</v>
      </c>
      <c r="C41" s="6" t="s">
        <v>652</v>
      </c>
      <c r="D41" s="6" t="s">
        <v>653</v>
      </c>
      <c r="E41" s="6" t="s">
        <v>335</v>
      </c>
      <c r="F41" s="6" t="s">
        <v>651</v>
      </c>
      <c r="G41" s="6" t="s">
        <v>33</v>
      </c>
      <c r="H41" s="6"/>
    </row>
    <row r="42" ht="15.75" customHeight="1">
      <c r="A42" s="6" t="s">
        <v>86</v>
      </c>
      <c r="B42" s="6" t="s">
        <v>642</v>
      </c>
      <c r="C42" s="6" t="s">
        <v>654</v>
      </c>
      <c r="D42" s="6" t="s">
        <v>655</v>
      </c>
      <c r="E42" s="6" t="s">
        <v>335</v>
      </c>
      <c r="F42" s="6" t="s">
        <v>656</v>
      </c>
      <c r="G42" s="6" t="s">
        <v>33</v>
      </c>
      <c r="H42" s="6"/>
    </row>
    <row r="43" ht="15.75" customHeight="1">
      <c r="A43" s="6" t="s">
        <v>86</v>
      </c>
      <c r="B43" s="6" t="s">
        <v>657</v>
      </c>
      <c r="C43" s="6" t="s">
        <v>658</v>
      </c>
      <c r="D43" s="6" t="s">
        <v>659</v>
      </c>
      <c r="E43" s="6" t="s">
        <v>335</v>
      </c>
      <c r="F43" s="6" t="s">
        <v>660</v>
      </c>
      <c r="G43" s="6" t="s">
        <v>33</v>
      </c>
      <c r="H43" s="6"/>
    </row>
    <row r="44" ht="15.75" customHeight="1">
      <c r="A44" s="6" t="s">
        <v>86</v>
      </c>
      <c r="B44" s="6" t="s">
        <v>657</v>
      </c>
      <c r="C44" s="6" t="s">
        <v>661</v>
      </c>
      <c r="D44" s="6" t="s">
        <v>662</v>
      </c>
      <c r="E44" s="6" t="s">
        <v>335</v>
      </c>
      <c r="F44" s="6" t="s">
        <v>663</v>
      </c>
      <c r="G44" s="6" t="s">
        <v>33</v>
      </c>
      <c r="H44" s="6"/>
    </row>
    <row r="45" ht="15.75" customHeight="1">
      <c r="A45" s="6" t="s">
        <v>86</v>
      </c>
      <c r="B45" s="6" t="s">
        <v>657</v>
      </c>
      <c r="C45" s="6" t="s">
        <v>664</v>
      </c>
      <c r="D45" s="6" t="s">
        <v>665</v>
      </c>
      <c r="E45" s="6" t="s">
        <v>335</v>
      </c>
      <c r="F45" s="6" t="s">
        <v>666</v>
      </c>
      <c r="G45" s="6" t="s">
        <v>33</v>
      </c>
      <c r="H45" s="6"/>
    </row>
    <row r="46" ht="15.75" customHeight="1">
      <c r="A46" s="6" t="s">
        <v>86</v>
      </c>
      <c r="B46" s="6" t="s">
        <v>657</v>
      </c>
      <c r="C46" s="6" t="s">
        <v>667</v>
      </c>
      <c r="D46" s="6" t="s">
        <v>668</v>
      </c>
      <c r="E46" s="6" t="s">
        <v>335</v>
      </c>
      <c r="F46" s="6" t="s">
        <v>669</v>
      </c>
      <c r="G46" s="6" t="s">
        <v>33</v>
      </c>
      <c r="H46" s="6"/>
    </row>
    <row r="47" ht="15.75" customHeight="1">
      <c r="A47" s="6" t="s">
        <v>86</v>
      </c>
      <c r="B47" s="6" t="s">
        <v>670</v>
      </c>
      <c r="C47" s="6" t="s">
        <v>671</v>
      </c>
      <c r="D47" s="6" t="s">
        <v>672</v>
      </c>
      <c r="E47" s="6" t="s">
        <v>335</v>
      </c>
      <c r="F47" s="6" t="s">
        <v>673</v>
      </c>
      <c r="G47" s="6" t="s">
        <v>33</v>
      </c>
      <c r="H47" s="6"/>
    </row>
    <row r="48" ht="15.75" customHeight="1">
      <c r="A48" s="6" t="s">
        <v>86</v>
      </c>
      <c r="B48" s="6" t="s">
        <v>670</v>
      </c>
      <c r="C48" s="6" t="s">
        <v>674</v>
      </c>
      <c r="D48" s="6" t="s">
        <v>675</v>
      </c>
      <c r="E48" s="6" t="s">
        <v>335</v>
      </c>
      <c r="F48" s="6" t="s">
        <v>676</v>
      </c>
      <c r="G48" s="6" t="s">
        <v>33</v>
      </c>
      <c r="H48" s="6"/>
    </row>
    <row r="49" ht="15.75" customHeight="1">
      <c r="A49" s="6" t="s">
        <v>86</v>
      </c>
      <c r="B49" s="6" t="s">
        <v>670</v>
      </c>
      <c r="C49" s="6" t="s">
        <v>677</v>
      </c>
      <c r="D49" s="6" t="s">
        <v>678</v>
      </c>
      <c r="E49" s="6" t="s">
        <v>335</v>
      </c>
      <c r="F49" s="6" t="s">
        <v>679</v>
      </c>
      <c r="G49" s="6" t="s">
        <v>33</v>
      </c>
      <c r="H49" s="6"/>
    </row>
    <row r="50" ht="15.75" customHeight="1">
      <c r="A50" s="6" t="s">
        <v>86</v>
      </c>
      <c r="B50" s="6" t="s">
        <v>680</v>
      </c>
      <c r="C50" s="6" t="s">
        <v>681</v>
      </c>
      <c r="D50" s="6" t="s">
        <v>682</v>
      </c>
      <c r="E50" s="6" t="s">
        <v>335</v>
      </c>
      <c r="F50" s="6" t="s">
        <v>683</v>
      </c>
      <c r="G50" s="6" t="s">
        <v>33</v>
      </c>
      <c r="H50" s="6"/>
    </row>
    <row r="51" ht="15.75" customHeight="1">
      <c r="A51" s="6" t="s">
        <v>86</v>
      </c>
      <c r="B51" s="6" t="s">
        <v>680</v>
      </c>
      <c r="C51" s="6" t="s">
        <v>684</v>
      </c>
      <c r="D51" s="6" t="s">
        <v>685</v>
      </c>
      <c r="E51" s="6" t="s">
        <v>335</v>
      </c>
      <c r="F51" s="6" t="s">
        <v>686</v>
      </c>
      <c r="G51" s="6" t="s">
        <v>33</v>
      </c>
      <c r="H51" s="6"/>
    </row>
    <row r="52" ht="15.75" customHeight="1">
      <c r="A52" s="6" t="s">
        <v>86</v>
      </c>
      <c r="B52" s="6" t="s">
        <v>680</v>
      </c>
      <c r="C52" s="6" t="s">
        <v>687</v>
      </c>
      <c r="D52" s="6" t="s">
        <v>688</v>
      </c>
      <c r="E52" s="6" t="s">
        <v>335</v>
      </c>
      <c r="F52" s="6" t="s">
        <v>689</v>
      </c>
      <c r="G52" s="6" t="s">
        <v>33</v>
      </c>
      <c r="H52" s="6"/>
    </row>
    <row r="53" ht="15.75" customHeight="1">
      <c r="A53" s="6" t="s">
        <v>86</v>
      </c>
      <c r="B53" s="6" t="s">
        <v>690</v>
      </c>
      <c r="C53" s="6" t="s">
        <v>691</v>
      </c>
      <c r="D53" s="6" t="s">
        <v>692</v>
      </c>
      <c r="E53" s="6" t="s">
        <v>335</v>
      </c>
      <c r="F53" s="6" t="s">
        <v>693</v>
      </c>
      <c r="G53" s="6" t="s">
        <v>33</v>
      </c>
      <c r="H53" s="6"/>
    </row>
    <row r="54" ht="15.75" customHeight="1">
      <c r="A54" s="6" t="s">
        <v>86</v>
      </c>
      <c r="B54" s="6" t="s">
        <v>690</v>
      </c>
      <c r="C54" s="6" t="s">
        <v>694</v>
      </c>
      <c r="D54" s="6" t="s">
        <v>695</v>
      </c>
      <c r="E54" s="6" t="s">
        <v>335</v>
      </c>
      <c r="F54" s="6" t="s">
        <v>696</v>
      </c>
      <c r="G54" s="6" t="s">
        <v>33</v>
      </c>
      <c r="H54" s="6"/>
    </row>
    <row r="55" ht="15.75" customHeight="1">
      <c r="A55" s="6" t="s">
        <v>86</v>
      </c>
      <c r="B55" s="6" t="s">
        <v>690</v>
      </c>
      <c r="C55" s="6" t="s">
        <v>697</v>
      </c>
      <c r="D55" s="6" t="s">
        <v>698</v>
      </c>
      <c r="E55" s="6" t="s">
        <v>335</v>
      </c>
      <c r="F55" s="6" t="s">
        <v>699</v>
      </c>
      <c r="G55" s="6" t="s">
        <v>33</v>
      </c>
      <c r="H55" s="6"/>
    </row>
    <row r="56" ht="15.75" customHeight="1">
      <c r="A56" s="6" t="s">
        <v>86</v>
      </c>
      <c r="B56" s="6" t="s">
        <v>700</v>
      </c>
      <c r="C56" s="6" t="s">
        <v>494</v>
      </c>
      <c r="D56" s="6"/>
      <c r="E56" s="6" t="s">
        <v>496</v>
      </c>
      <c r="F56" s="6" t="s">
        <v>701</v>
      </c>
      <c r="G56" s="6" t="s">
        <v>22</v>
      </c>
      <c r="H56" s="6"/>
    </row>
    <row r="57" ht="15.75" customHeight="1">
      <c r="A57" s="6" t="s">
        <v>86</v>
      </c>
      <c r="B57" s="6" t="s">
        <v>700</v>
      </c>
      <c r="C57" s="6" t="s">
        <v>702</v>
      </c>
      <c r="D57" s="6" t="s">
        <v>703</v>
      </c>
      <c r="E57" s="6" t="s">
        <v>335</v>
      </c>
      <c r="F57" s="6" t="s">
        <v>704</v>
      </c>
      <c r="G57" s="6" t="s">
        <v>22</v>
      </c>
      <c r="H57" s="6"/>
    </row>
    <row r="58" ht="15.75" customHeight="1">
      <c r="A58" s="6" t="s">
        <v>86</v>
      </c>
      <c r="B58" s="6" t="s">
        <v>700</v>
      </c>
      <c r="C58" s="6" t="s">
        <v>705</v>
      </c>
      <c r="D58" s="6" t="s">
        <v>706</v>
      </c>
      <c r="E58" s="6" t="s">
        <v>335</v>
      </c>
      <c r="F58" s="6" t="s">
        <v>707</v>
      </c>
      <c r="G58" s="6" t="s">
        <v>22</v>
      </c>
      <c r="H58" s="6"/>
    </row>
    <row r="59" ht="15.75" customHeight="1">
      <c r="A59" s="6" t="s">
        <v>86</v>
      </c>
      <c r="B59" s="6" t="s">
        <v>700</v>
      </c>
      <c r="C59" s="6" t="s">
        <v>708</v>
      </c>
      <c r="D59" s="6" t="s">
        <v>709</v>
      </c>
      <c r="E59" s="6" t="s">
        <v>335</v>
      </c>
      <c r="F59" s="6" t="s">
        <v>710</v>
      </c>
      <c r="G59" s="6" t="s">
        <v>22</v>
      </c>
      <c r="H59" s="6"/>
    </row>
    <row r="60" ht="15.75" customHeight="1">
      <c r="A60" s="6" t="s">
        <v>86</v>
      </c>
      <c r="B60" s="6" t="s">
        <v>700</v>
      </c>
      <c r="C60" s="6" t="s">
        <v>711</v>
      </c>
      <c r="D60" s="6" t="s">
        <v>712</v>
      </c>
      <c r="E60" s="6" t="s">
        <v>335</v>
      </c>
      <c r="F60" s="6" t="s">
        <v>713</v>
      </c>
      <c r="G60" s="6" t="s">
        <v>22</v>
      </c>
      <c r="H60" s="6"/>
    </row>
    <row r="61" ht="15.75" customHeight="1">
      <c r="A61" s="6" t="s">
        <v>86</v>
      </c>
      <c r="B61" s="6" t="s">
        <v>700</v>
      </c>
      <c r="C61" s="6" t="s">
        <v>714</v>
      </c>
      <c r="D61" s="6" t="s">
        <v>715</v>
      </c>
      <c r="E61" s="6" t="s">
        <v>335</v>
      </c>
      <c r="F61" s="6" t="s">
        <v>716</v>
      </c>
      <c r="G61" s="6" t="s">
        <v>22</v>
      </c>
      <c r="H61" s="6"/>
    </row>
    <row r="62" ht="15.75" customHeight="1">
      <c r="A62" s="6" t="s">
        <v>86</v>
      </c>
      <c r="B62" s="6" t="s">
        <v>700</v>
      </c>
      <c r="C62" s="6" t="s">
        <v>717</v>
      </c>
      <c r="D62" s="6" t="s">
        <v>718</v>
      </c>
      <c r="E62" s="6" t="s">
        <v>335</v>
      </c>
      <c r="F62" s="6" t="s">
        <v>719</v>
      </c>
      <c r="G62" s="6" t="s">
        <v>22</v>
      </c>
      <c r="H62" s="6"/>
    </row>
    <row r="63" ht="15.75" customHeight="1">
      <c r="A63" s="6" t="s">
        <v>86</v>
      </c>
      <c r="B63" s="6" t="s">
        <v>700</v>
      </c>
      <c r="C63" s="6" t="s">
        <v>720</v>
      </c>
      <c r="D63" s="6" t="s">
        <v>721</v>
      </c>
      <c r="E63" s="6" t="s">
        <v>335</v>
      </c>
      <c r="F63" s="6" t="s">
        <v>722</v>
      </c>
      <c r="G63" s="6" t="s">
        <v>22</v>
      </c>
      <c r="H63" s="6"/>
    </row>
    <row r="64" ht="15.75" customHeight="1">
      <c r="A64" s="6" t="s">
        <v>86</v>
      </c>
      <c r="B64" s="6" t="s">
        <v>700</v>
      </c>
      <c r="C64" s="6" t="s">
        <v>723</v>
      </c>
      <c r="D64" s="6" t="s">
        <v>724</v>
      </c>
      <c r="E64" s="6" t="s">
        <v>335</v>
      </c>
      <c r="F64" s="6" t="s">
        <v>725</v>
      </c>
      <c r="G64" s="6" t="s">
        <v>22</v>
      </c>
      <c r="H64" s="6"/>
    </row>
    <row r="65" ht="15.75" customHeight="1">
      <c r="A65" s="6" t="s">
        <v>86</v>
      </c>
      <c r="B65" s="6" t="s">
        <v>700</v>
      </c>
      <c r="C65" s="6" t="s">
        <v>726</v>
      </c>
      <c r="D65" s="6" t="s">
        <v>727</v>
      </c>
      <c r="E65" s="6" t="s">
        <v>335</v>
      </c>
      <c r="F65" s="6" t="s">
        <v>728</v>
      </c>
      <c r="G65" s="6" t="s">
        <v>22</v>
      </c>
      <c r="H65" s="6"/>
    </row>
    <row r="66" ht="15.75" customHeight="1">
      <c r="A66" s="6" t="s">
        <v>86</v>
      </c>
      <c r="B66" s="6" t="s">
        <v>700</v>
      </c>
      <c r="C66" s="6" t="s">
        <v>729</v>
      </c>
      <c r="D66" s="6" t="s">
        <v>730</v>
      </c>
      <c r="E66" s="6" t="s">
        <v>335</v>
      </c>
      <c r="F66" s="6" t="s">
        <v>731</v>
      </c>
      <c r="G66" s="6" t="s">
        <v>22</v>
      </c>
      <c r="H66" s="6"/>
    </row>
    <row r="67" ht="15.75" customHeight="1">
      <c r="A67" s="6" t="s">
        <v>86</v>
      </c>
      <c r="B67" s="6" t="s">
        <v>700</v>
      </c>
      <c r="C67" s="6" t="s">
        <v>569</v>
      </c>
      <c r="D67" s="6" t="s">
        <v>732</v>
      </c>
      <c r="E67" s="6" t="s">
        <v>335</v>
      </c>
      <c r="F67" s="6" t="s">
        <v>572</v>
      </c>
      <c r="G67" s="6" t="s">
        <v>22</v>
      </c>
      <c r="H67" s="6"/>
    </row>
    <row r="68" ht="15.75" customHeight="1">
      <c r="A68" s="6" t="s">
        <v>86</v>
      </c>
      <c r="B68" s="6" t="s">
        <v>700</v>
      </c>
      <c r="C68" s="6" t="s">
        <v>575</v>
      </c>
      <c r="D68" s="6" t="s">
        <v>733</v>
      </c>
      <c r="E68" s="6" t="s">
        <v>335</v>
      </c>
      <c r="F68" s="6" t="s">
        <v>572</v>
      </c>
      <c r="G68" s="6" t="s">
        <v>22</v>
      </c>
      <c r="H68" s="6"/>
    </row>
    <row r="69" ht="15.75" customHeight="1">
      <c r="A69" s="6" t="s">
        <v>86</v>
      </c>
      <c r="B69" s="6" t="s">
        <v>700</v>
      </c>
      <c r="C69" s="6" t="s">
        <v>580</v>
      </c>
      <c r="D69" s="6" t="s">
        <v>734</v>
      </c>
      <c r="E69" s="6" t="s">
        <v>335</v>
      </c>
      <c r="F69" s="6" t="s">
        <v>572</v>
      </c>
      <c r="G69" s="6" t="s">
        <v>22</v>
      </c>
      <c r="H69" s="6"/>
    </row>
    <row r="70" ht="15.75" customHeight="1">
      <c r="A70" s="6" t="s">
        <v>86</v>
      </c>
      <c r="B70" s="6" t="s">
        <v>700</v>
      </c>
      <c r="C70" s="6" t="s">
        <v>735</v>
      </c>
      <c r="D70" s="6" t="s">
        <v>736</v>
      </c>
      <c r="E70" s="6" t="s">
        <v>335</v>
      </c>
      <c r="F70" s="6" t="s">
        <v>587</v>
      </c>
      <c r="G70" s="6" t="s">
        <v>22</v>
      </c>
      <c r="H70" s="6"/>
    </row>
    <row r="71" ht="15.75" customHeight="1">
      <c r="A71" s="6" t="s">
        <v>86</v>
      </c>
      <c r="B71" s="6" t="s">
        <v>700</v>
      </c>
      <c r="C71" s="6" t="s">
        <v>737</v>
      </c>
      <c r="D71" s="6" t="s">
        <v>738</v>
      </c>
      <c r="E71" s="6" t="s">
        <v>335</v>
      </c>
      <c r="F71" s="6" t="s">
        <v>739</v>
      </c>
      <c r="G71" s="6" t="s">
        <v>18</v>
      </c>
      <c r="H71" s="6"/>
    </row>
    <row r="72" ht="15.75" customHeight="1">
      <c r="A72" s="6" t="s">
        <v>86</v>
      </c>
      <c r="B72" s="6" t="s">
        <v>700</v>
      </c>
      <c r="C72" s="6" t="s">
        <v>740</v>
      </c>
      <c r="D72" s="6" t="s">
        <v>741</v>
      </c>
      <c r="E72" s="6" t="s">
        <v>335</v>
      </c>
      <c r="F72" s="6" t="s">
        <v>599</v>
      </c>
      <c r="G72" s="6" t="s">
        <v>22</v>
      </c>
      <c r="H72" s="6"/>
    </row>
    <row r="73" ht="15.75" customHeight="1">
      <c r="A73" s="6" t="s">
        <v>86</v>
      </c>
      <c r="B73" s="6" t="s">
        <v>742</v>
      </c>
      <c r="C73" s="6" t="s">
        <v>743</v>
      </c>
      <c r="D73" s="6" t="s">
        <v>744</v>
      </c>
      <c r="E73" s="6" t="s">
        <v>335</v>
      </c>
      <c r="F73" s="6" t="s">
        <v>745</v>
      </c>
      <c r="G73" s="6" t="s">
        <v>33</v>
      </c>
      <c r="H73" s="6"/>
    </row>
    <row r="74" ht="15.75" customHeight="1">
      <c r="A74" s="6" t="s">
        <v>86</v>
      </c>
      <c r="B74" s="6" t="s">
        <v>742</v>
      </c>
      <c r="C74" s="6" t="s">
        <v>746</v>
      </c>
      <c r="D74" s="6" t="s">
        <v>747</v>
      </c>
      <c r="E74" s="6" t="s">
        <v>335</v>
      </c>
      <c r="F74" s="6" t="s">
        <v>748</v>
      </c>
      <c r="G74" s="6" t="s">
        <v>33</v>
      </c>
      <c r="H74" s="6"/>
    </row>
    <row r="75" ht="15.75" customHeight="1">
      <c r="A75" s="6" t="s">
        <v>86</v>
      </c>
      <c r="B75" s="6" t="s">
        <v>742</v>
      </c>
      <c r="C75" s="6" t="s">
        <v>749</v>
      </c>
      <c r="D75" s="6" t="s">
        <v>750</v>
      </c>
      <c r="E75" s="6" t="s">
        <v>335</v>
      </c>
      <c r="F75" s="6" t="s">
        <v>751</v>
      </c>
      <c r="G75" s="6" t="s">
        <v>33</v>
      </c>
      <c r="H75" s="6"/>
    </row>
    <row r="76" ht="15.75" customHeight="1">
      <c r="A76" s="6" t="s">
        <v>86</v>
      </c>
      <c r="B76" s="6" t="s">
        <v>752</v>
      </c>
      <c r="C76" s="6" t="s">
        <v>753</v>
      </c>
      <c r="D76" s="6" t="s">
        <v>754</v>
      </c>
      <c r="E76" s="6" t="s">
        <v>335</v>
      </c>
      <c r="F76" s="6" t="s">
        <v>755</v>
      </c>
      <c r="G76" s="6" t="s">
        <v>33</v>
      </c>
      <c r="H76" s="6"/>
    </row>
    <row r="77" ht="15.75" customHeight="1">
      <c r="A77" s="6" t="s">
        <v>86</v>
      </c>
      <c r="B77" s="6" t="s">
        <v>752</v>
      </c>
      <c r="C77" s="6" t="s">
        <v>756</v>
      </c>
      <c r="D77" s="6" t="s">
        <v>757</v>
      </c>
      <c r="E77" s="6" t="s">
        <v>335</v>
      </c>
      <c r="F77" s="6" t="s">
        <v>758</v>
      </c>
      <c r="G77" s="6" t="s">
        <v>33</v>
      </c>
      <c r="H77" s="6"/>
    </row>
    <row r="78" ht="15.75" customHeight="1">
      <c r="A78" s="6" t="s">
        <v>86</v>
      </c>
      <c r="B78" s="6" t="s">
        <v>752</v>
      </c>
      <c r="C78" s="6" t="s">
        <v>759</v>
      </c>
      <c r="D78" s="6" t="s">
        <v>760</v>
      </c>
      <c r="E78" s="6" t="s">
        <v>335</v>
      </c>
      <c r="F78" s="6" t="s">
        <v>761</v>
      </c>
      <c r="G78" s="6" t="s">
        <v>33</v>
      </c>
      <c r="H78" s="6"/>
    </row>
    <row r="79" ht="15.75" customHeight="1">
      <c r="A79" s="6" t="s">
        <v>86</v>
      </c>
      <c r="B79" s="6" t="s">
        <v>762</v>
      </c>
      <c r="C79" s="6" t="s">
        <v>494</v>
      </c>
      <c r="D79" s="6"/>
      <c r="E79" s="6" t="s">
        <v>496</v>
      </c>
      <c r="F79" s="6" t="s">
        <v>763</v>
      </c>
      <c r="G79" s="6" t="s">
        <v>33</v>
      </c>
      <c r="H79" s="6"/>
    </row>
    <row r="80" ht="15.75" customHeight="1">
      <c r="A80" s="6" t="s">
        <v>86</v>
      </c>
      <c r="B80" s="6" t="s">
        <v>762</v>
      </c>
      <c r="C80" s="6" t="s">
        <v>764</v>
      </c>
      <c r="D80" s="6" t="s">
        <v>765</v>
      </c>
      <c r="E80" s="6" t="s">
        <v>335</v>
      </c>
      <c r="F80" s="6" t="s">
        <v>766</v>
      </c>
      <c r="G80" s="6" t="s">
        <v>33</v>
      </c>
      <c r="H80" s="6"/>
    </row>
    <row r="81" ht="15.75" customHeight="1">
      <c r="A81" s="6" t="s">
        <v>86</v>
      </c>
      <c r="B81" s="6" t="s">
        <v>762</v>
      </c>
      <c r="C81" s="6" t="s">
        <v>767</v>
      </c>
      <c r="D81" s="6" t="s">
        <v>768</v>
      </c>
      <c r="E81" s="6" t="s">
        <v>335</v>
      </c>
      <c r="F81" s="6" t="s">
        <v>769</v>
      </c>
      <c r="G81" s="6" t="s">
        <v>33</v>
      </c>
      <c r="H81" s="6"/>
    </row>
    <row r="82" ht="15.75" customHeight="1">
      <c r="A82" s="6" t="s">
        <v>86</v>
      </c>
      <c r="B82" s="6" t="s">
        <v>762</v>
      </c>
      <c r="C82" s="6" t="s">
        <v>770</v>
      </c>
      <c r="D82" s="6" t="s">
        <v>771</v>
      </c>
      <c r="E82" s="6" t="s">
        <v>335</v>
      </c>
      <c r="F82" s="6" t="s">
        <v>769</v>
      </c>
      <c r="G82" s="6" t="s">
        <v>33</v>
      </c>
      <c r="H82" s="6"/>
    </row>
    <row r="83" ht="15.75" customHeight="1">
      <c r="A83" s="6" t="s">
        <v>86</v>
      </c>
      <c r="B83" s="6" t="s">
        <v>772</v>
      </c>
      <c r="C83" s="6" t="s">
        <v>773</v>
      </c>
      <c r="D83" s="6" t="s">
        <v>774</v>
      </c>
      <c r="E83" s="6" t="s">
        <v>335</v>
      </c>
      <c r="F83" s="6" t="s">
        <v>775</v>
      </c>
      <c r="G83" s="6" t="s">
        <v>33</v>
      </c>
      <c r="H83" s="6"/>
    </row>
    <row r="84" ht="15.75" customHeight="1">
      <c r="A84" s="6" t="s">
        <v>86</v>
      </c>
      <c r="B84" s="6" t="s">
        <v>772</v>
      </c>
      <c r="C84" s="6" t="s">
        <v>776</v>
      </c>
      <c r="D84" s="6" t="s">
        <v>777</v>
      </c>
      <c r="E84" s="6" t="s">
        <v>335</v>
      </c>
      <c r="F84" s="6" t="s">
        <v>778</v>
      </c>
      <c r="G84" s="6" t="s">
        <v>33</v>
      </c>
      <c r="H84" s="6"/>
    </row>
    <row r="85" ht="15.75" customHeight="1">
      <c r="A85" s="6" t="s">
        <v>86</v>
      </c>
      <c r="B85" s="6" t="s">
        <v>772</v>
      </c>
      <c r="C85" s="6" t="s">
        <v>779</v>
      </c>
      <c r="D85" s="6" t="s">
        <v>780</v>
      </c>
      <c r="E85" s="6" t="s">
        <v>335</v>
      </c>
      <c r="F85" s="6" t="s">
        <v>781</v>
      </c>
      <c r="G85" s="6" t="s">
        <v>33</v>
      </c>
      <c r="H85" s="6"/>
    </row>
    <row r="86" ht="15.75" customHeight="1">
      <c r="A86" s="6" t="s">
        <v>86</v>
      </c>
      <c r="B86" s="6" t="s">
        <v>782</v>
      </c>
      <c r="C86" s="6" t="s">
        <v>783</v>
      </c>
      <c r="D86" s="6" t="s">
        <v>784</v>
      </c>
      <c r="E86" s="6" t="s">
        <v>335</v>
      </c>
      <c r="F86" s="6" t="s">
        <v>785</v>
      </c>
      <c r="G86" s="6" t="s">
        <v>33</v>
      </c>
      <c r="H86" s="6"/>
    </row>
    <row r="87" ht="15.75" customHeight="1">
      <c r="A87" s="6" t="s">
        <v>86</v>
      </c>
      <c r="B87" s="6" t="s">
        <v>782</v>
      </c>
      <c r="C87" s="6" t="s">
        <v>786</v>
      </c>
      <c r="D87" s="6" t="s">
        <v>787</v>
      </c>
      <c r="E87" s="6" t="s">
        <v>335</v>
      </c>
      <c r="F87" s="6" t="s">
        <v>788</v>
      </c>
      <c r="G87" s="6" t="s">
        <v>33</v>
      </c>
      <c r="H87" s="6"/>
    </row>
    <row r="88" ht="15.75" customHeight="1">
      <c r="A88" s="6" t="s">
        <v>86</v>
      </c>
      <c r="B88" s="6" t="s">
        <v>789</v>
      </c>
      <c r="C88" s="6" t="s">
        <v>790</v>
      </c>
      <c r="D88" s="6" t="s">
        <v>791</v>
      </c>
      <c r="E88" s="6" t="s">
        <v>335</v>
      </c>
      <c r="F88" s="6" t="s">
        <v>792</v>
      </c>
      <c r="G88" s="6" t="s">
        <v>33</v>
      </c>
      <c r="H88" s="6"/>
    </row>
    <row r="89" ht="15.75" customHeight="1">
      <c r="A89" s="6" t="s">
        <v>86</v>
      </c>
      <c r="B89" s="6" t="s">
        <v>789</v>
      </c>
      <c r="C89" s="6" t="s">
        <v>793</v>
      </c>
      <c r="D89" s="6" t="s">
        <v>794</v>
      </c>
      <c r="E89" s="6" t="s">
        <v>335</v>
      </c>
      <c r="F89" s="6" t="s">
        <v>795</v>
      </c>
      <c r="G89" s="6" t="s">
        <v>33</v>
      </c>
      <c r="H89" s="6"/>
    </row>
    <row r="90" ht="15.75" customHeight="1">
      <c r="A90" s="6" t="s">
        <v>86</v>
      </c>
      <c r="B90" s="6" t="s">
        <v>796</v>
      </c>
      <c r="C90" s="6" t="s">
        <v>494</v>
      </c>
      <c r="D90" s="6"/>
      <c r="E90" s="6" t="s">
        <v>496</v>
      </c>
      <c r="F90" s="6" t="s">
        <v>797</v>
      </c>
      <c r="G90" s="6" t="s">
        <v>22</v>
      </c>
      <c r="H90" s="6"/>
    </row>
    <row r="91" ht="15.75" customHeight="1">
      <c r="A91" s="6" t="s">
        <v>86</v>
      </c>
      <c r="B91" s="6" t="s">
        <v>796</v>
      </c>
      <c r="C91" s="6" t="s">
        <v>798</v>
      </c>
      <c r="D91" s="6" t="s">
        <v>799</v>
      </c>
      <c r="E91" s="6" t="s">
        <v>335</v>
      </c>
      <c r="F91" s="6" t="s">
        <v>800</v>
      </c>
      <c r="G91" s="6" t="s">
        <v>22</v>
      </c>
      <c r="H91" s="6"/>
    </row>
    <row r="92" ht="15.75" customHeight="1">
      <c r="A92" s="6" t="s">
        <v>86</v>
      </c>
      <c r="B92" s="6" t="s">
        <v>796</v>
      </c>
      <c r="C92" s="6" t="s">
        <v>801</v>
      </c>
      <c r="D92" s="6" t="s">
        <v>802</v>
      </c>
      <c r="E92" s="6" t="s">
        <v>335</v>
      </c>
      <c r="F92" s="6" t="s">
        <v>803</v>
      </c>
      <c r="G92" s="6" t="s">
        <v>22</v>
      </c>
      <c r="H92" s="6"/>
    </row>
    <row r="93" ht="15.75" customHeight="1">
      <c r="A93" s="6" t="s">
        <v>86</v>
      </c>
      <c r="B93" s="6" t="s">
        <v>796</v>
      </c>
      <c r="C93" s="6" t="s">
        <v>804</v>
      </c>
      <c r="D93" s="6" t="s">
        <v>805</v>
      </c>
      <c r="E93" s="6" t="s">
        <v>335</v>
      </c>
      <c r="F93" s="6" t="s">
        <v>806</v>
      </c>
      <c r="G93" s="6" t="s">
        <v>22</v>
      </c>
      <c r="H93" s="6"/>
    </row>
    <row r="94" ht="15.75" customHeight="1">
      <c r="A94" s="6" t="s">
        <v>86</v>
      </c>
      <c r="B94" s="6" t="s">
        <v>796</v>
      </c>
      <c r="C94" s="6" t="s">
        <v>807</v>
      </c>
      <c r="D94" s="6" t="s">
        <v>808</v>
      </c>
      <c r="E94" s="6" t="s">
        <v>335</v>
      </c>
      <c r="F94" s="6" t="s">
        <v>809</v>
      </c>
      <c r="G94" s="6" t="s">
        <v>22</v>
      </c>
      <c r="H94" s="6"/>
    </row>
    <row r="95" ht="15.75" customHeight="1">
      <c r="A95" s="6" t="s">
        <v>86</v>
      </c>
      <c r="B95" s="6" t="s">
        <v>796</v>
      </c>
      <c r="C95" s="6" t="s">
        <v>810</v>
      </c>
      <c r="D95" s="6" t="s">
        <v>811</v>
      </c>
      <c r="E95" s="6" t="s">
        <v>335</v>
      </c>
      <c r="F95" s="6" t="s">
        <v>812</v>
      </c>
      <c r="G95" s="6" t="s">
        <v>22</v>
      </c>
      <c r="H95" s="6"/>
    </row>
    <row r="96" ht="15.75" customHeight="1">
      <c r="A96" s="6" t="s">
        <v>86</v>
      </c>
      <c r="B96" s="6" t="s">
        <v>796</v>
      </c>
      <c r="C96" s="6" t="s">
        <v>813</v>
      </c>
      <c r="D96" s="6" t="s">
        <v>814</v>
      </c>
      <c r="E96" s="6" t="s">
        <v>335</v>
      </c>
      <c r="F96" s="6" t="s">
        <v>815</v>
      </c>
      <c r="G96" s="6" t="s">
        <v>22</v>
      </c>
      <c r="H96" s="6"/>
    </row>
    <row r="97" ht="15.75" customHeight="1">
      <c r="A97" s="6" t="s">
        <v>86</v>
      </c>
      <c r="B97" s="6" t="s">
        <v>796</v>
      </c>
      <c r="C97" s="6" t="s">
        <v>816</v>
      </c>
      <c r="D97" s="6" t="s">
        <v>817</v>
      </c>
      <c r="E97" s="6" t="s">
        <v>335</v>
      </c>
      <c r="F97" s="6" t="s">
        <v>722</v>
      </c>
      <c r="G97" s="6" t="s">
        <v>22</v>
      </c>
      <c r="H97" s="6"/>
    </row>
    <row r="98" ht="15.75" customHeight="1">
      <c r="A98" s="6" t="s">
        <v>86</v>
      </c>
      <c r="B98" s="6" t="s">
        <v>796</v>
      </c>
      <c r="C98" s="6" t="s">
        <v>818</v>
      </c>
      <c r="D98" s="6" t="s">
        <v>819</v>
      </c>
      <c r="E98" s="6" t="s">
        <v>335</v>
      </c>
      <c r="F98" s="6" t="s">
        <v>554</v>
      </c>
      <c r="G98" s="6" t="s">
        <v>22</v>
      </c>
      <c r="H98" s="6"/>
    </row>
    <row r="99" ht="15.75" customHeight="1">
      <c r="A99" s="6" t="s">
        <v>86</v>
      </c>
      <c r="B99" s="6" t="s">
        <v>796</v>
      </c>
      <c r="C99" s="6" t="s">
        <v>820</v>
      </c>
      <c r="D99" s="6" t="s">
        <v>821</v>
      </c>
      <c r="E99" s="6" t="s">
        <v>335</v>
      </c>
      <c r="F99" s="6" t="s">
        <v>822</v>
      </c>
      <c r="G99" s="6" t="s">
        <v>22</v>
      </c>
      <c r="H99" s="6"/>
    </row>
    <row r="100" ht="15.75" customHeight="1">
      <c r="A100" s="6" t="s">
        <v>86</v>
      </c>
      <c r="B100" s="6" t="s">
        <v>796</v>
      </c>
      <c r="C100" s="6" t="s">
        <v>823</v>
      </c>
      <c r="D100" s="6" t="s">
        <v>824</v>
      </c>
      <c r="E100" s="6" t="s">
        <v>335</v>
      </c>
      <c r="F100" s="6" t="s">
        <v>825</v>
      </c>
      <c r="G100" s="6" t="s">
        <v>22</v>
      </c>
      <c r="H100" s="6"/>
    </row>
    <row r="101" ht="15.75" customHeight="1">
      <c r="A101" s="6" t="s">
        <v>86</v>
      </c>
      <c r="B101" s="6" t="s">
        <v>796</v>
      </c>
      <c r="C101" s="6" t="s">
        <v>569</v>
      </c>
      <c r="D101" s="6" t="s">
        <v>826</v>
      </c>
      <c r="E101" s="6" t="s">
        <v>335</v>
      </c>
      <c r="F101" s="6" t="s">
        <v>572</v>
      </c>
      <c r="G101" s="6" t="s">
        <v>22</v>
      </c>
      <c r="H101" s="6"/>
    </row>
    <row r="102" ht="15.75" customHeight="1">
      <c r="A102" s="6" t="s">
        <v>86</v>
      </c>
      <c r="B102" s="6" t="s">
        <v>796</v>
      </c>
      <c r="C102" s="6" t="s">
        <v>575</v>
      </c>
      <c r="D102" s="6" t="s">
        <v>827</v>
      </c>
      <c r="E102" s="6" t="s">
        <v>335</v>
      </c>
      <c r="F102" s="6" t="s">
        <v>572</v>
      </c>
      <c r="G102" s="6" t="s">
        <v>22</v>
      </c>
      <c r="H102" s="6"/>
    </row>
    <row r="103" ht="15.75" customHeight="1">
      <c r="A103" s="6" t="s">
        <v>86</v>
      </c>
      <c r="B103" s="6" t="s">
        <v>796</v>
      </c>
      <c r="C103" s="6" t="s">
        <v>580</v>
      </c>
      <c r="D103" s="6" t="s">
        <v>828</v>
      </c>
      <c r="E103" s="6" t="s">
        <v>335</v>
      </c>
      <c r="F103" s="6" t="s">
        <v>572</v>
      </c>
      <c r="G103" s="6" t="s">
        <v>22</v>
      </c>
      <c r="H103" s="6"/>
    </row>
    <row r="104" ht="15.75" customHeight="1">
      <c r="A104" s="6" t="s">
        <v>86</v>
      </c>
      <c r="B104" s="6" t="s">
        <v>796</v>
      </c>
      <c r="C104" s="6" t="s">
        <v>829</v>
      </c>
      <c r="D104" s="6" t="s">
        <v>830</v>
      </c>
      <c r="E104" s="6" t="s">
        <v>335</v>
      </c>
      <c r="F104" s="6" t="s">
        <v>587</v>
      </c>
      <c r="G104" s="6" t="s">
        <v>22</v>
      </c>
      <c r="H104" s="6"/>
    </row>
    <row r="105" ht="15.75" customHeight="1">
      <c r="A105" s="6" t="s">
        <v>86</v>
      </c>
      <c r="B105" s="6" t="s">
        <v>796</v>
      </c>
      <c r="C105" s="6" t="s">
        <v>831</v>
      </c>
      <c r="D105" s="6" t="s">
        <v>832</v>
      </c>
      <c r="E105" s="6" t="s">
        <v>335</v>
      </c>
      <c r="F105" s="6" t="s">
        <v>833</v>
      </c>
      <c r="G105" s="6" t="s">
        <v>18</v>
      </c>
      <c r="H105" s="6"/>
    </row>
    <row r="106" ht="15.75" customHeight="1">
      <c r="A106" s="6" t="s">
        <v>86</v>
      </c>
      <c r="B106" s="6" t="s">
        <v>796</v>
      </c>
      <c r="C106" s="6" t="s">
        <v>834</v>
      </c>
      <c r="D106" s="6" t="s">
        <v>835</v>
      </c>
      <c r="E106" s="6" t="s">
        <v>335</v>
      </c>
      <c r="F106" s="6" t="s">
        <v>599</v>
      </c>
      <c r="G106" s="6" t="s">
        <v>22</v>
      </c>
      <c r="H106" s="6"/>
    </row>
    <row r="107" ht="15.75" customHeight="1">
      <c r="A107" s="6" t="s">
        <v>86</v>
      </c>
      <c r="B107" s="6" t="s">
        <v>836</v>
      </c>
      <c r="C107" s="6" t="s">
        <v>837</v>
      </c>
      <c r="D107" s="6" t="s">
        <v>838</v>
      </c>
      <c r="E107" s="6" t="s">
        <v>335</v>
      </c>
      <c r="F107" s="6" t="s">
        <v>839</v>
      </c>
      <c r="G107" s="6" t="s">
        <v>33</v>
      </c>
      <c r="H107" s="6"/>
    </row>
    <row r="108" ht="15.75" customHeight="1">
      <c r="A108" s="6" t="s">
        <v>86</v>
      </c>
      <c r="B108" s="6" t="s">
        <v>836</v>
      </c>
      <c r="C108" s="6" t="s">
        <v>840</v>
      </c>
      <c r="D108" s="6" t="s">
        <v>841</v>
      </c>
      <c r="E108" s="6" t="s">
        <v>335</v>
      </c>
      <c r="F108" s="6" t="s">
        <v>842</v>
      </c>
      <c r="G108" s="6" t="s">
        <v>33</v>
      </c>
      <c r="H108" s="6"/>
    </row>
    <row r="109" ht="15.75" customHeight="1">
      <c r="A109" s="6" t="s">
        <v>86</v>
      </c>
      <c r="B109" s="6" t="s">
        <v>836</v>
      </c>
      <c r="C109" s="6" t="s">
        <v>843</v>
      </c>
      <c r="D109" s="6" t="s">
        <v>844</v>
      </c>
      <c r="E109" s="6" t="s">
        <v>335</v>
      </c>
      <c r="F109" s="6" t="s">
        <v>845</v>
      </c>
      <c r="G109" s="6" t="s">
        <v>33</v>
      </c>
      <c r="H109" s="6"/>
    </row>
    <row r="110" ht="15.75" customHeight="1">
      <c r="A110" s="6" t="s">
        <v>86</v>
      </c>
      <c r="B110" s="6" t="s">
        <v>836</v>
      </c>
      <c r="C110" s="6" t="s">
        <v>846</v>
      </c>
      <c r="D110" s="6" t="s">
        <v>847</v>
      </c>
      <c r="E110" s="6" t="s">
        <v>335</v>
      </c>
      <c r="F110" s="6" t="s">
        <v>848</v>
      </c>
      <c r="G110" s="6" t="s">
        <v>33</v>
      </c>
      <c r="H110" s="6"/>
    </row>
    <row r="111" ht="15.75" customHeight="1">
      <c r="A111" s="6" t="s">
        <v>86</v>
      </c>
      <c r="B111" s="6" t="s">
        <v>849</v>
      </c>
      <c r="C111" s="6" t="s">
        <v>850</v>
      </c>
      <c r="D111" s="6" t="s">
        <v>851</v>
      </c>
      <c r="E111" s="6" t="s">
        <v>335</v>
      </c>
      <c r="F111" s="6" t="s">
        <v>852</v>
      </c>
      <c r="G111" s="6" t="s">
        <v>33</v>
      </c>
      <c r="H111" s="6"/>
    </row>
    <row r="112" ht="15.75" customHeight="1">
      <c r="A112" s="6" t="s">
        <v>86</v>
      </c>
      <c r="B112" s="6" t="s">
        <v>849</v>
      </c>
      <c r="C112" s="6" t="s">
        <v>853</v>
      </c>
      <c r="D112" s="6" t="s">
        <v>854</v>
      </c>
      <c r="E112" s="6" t="s">
        <v>335</v>
      </c>
      <c r="F112" s="6" t="s">
        <v>855</v>
      </c>
      <c r="G112" s="6" t="s">
        <v>33</v>
      </c>
      <c r="H112" s="6"/>
    </row>
    <row r="113" ht="15.75" customHeight="1">
      <c r="A113" s="6" t="s">
        <v>86</v>
      </c>
      <c r="B113" s="6" t="s">
        <v>849</v>
      </c>
      <c r="C113" s="6" t="s">
        <v>856</v>
      </c>
      <c r="D113" s="6" t="s">
        <v>857</v>
      </c>
      <c r="E113" s="6" t="s">
        <v>335</v>
      </c>
      <c r="F113" s="6" t="s">
        <v>699</v>
      </c>
      <c r="G113" s="6" t="s">
        <v>33</v>
      </c>
      <c r="H113" s="6"/>
    </row>
    <row r="114" ht="15.75" customHeight="1">
      <c r="A114" s="6" t="s">
        <v>86</v>
      </c>
      <c r="B114" s="6" t="s">
        <v>858</v>
      </c>
      <c r="C114" s="6" t="s">
        <v>773</v>
      </c>
      <c r="D114" s="6" t="s">
        <v>859</v>
      </c>
      <c r="E114" s="6" t="s">
        <v>335</v>
      </c>
      <c r="F114" s="6" t="s">
        <v>860</v>
      </c>
      <c r="G114" s="6" t="s">
        <v>33</v>
      </c>
      <c r="H114" s="6"/>
    </row>
    <row r="115" ht="15.75" customHeight="1">
      <c r="A115" s="6" t="s">
        <v>86</v>
      </c>
      <c r="B115" s="6" t="s">
        <v>858</v>
      </c>
      <c r="C115" s="6" t="s">
        <v>861</v>
      </c>
      <c r="D115" s="6" t="s">
        <v>862</v>
      </c>
      <c r="E115" s="6" t="s">
        <v>335</v>
      </c>
      <c r="F115" s="6" t="s">
        <v>863</v>
      </c>
      <c r="G115" s="6" t="s">
        <v>33</v>
      </c>
      <c r="H115" s="6"/>
    </row>
    <row r="116" ht="15.75" customHeight="1">
      <c r="A116" s="6" t="s">
        <v>86</v>
      </c>
      <c r="B116" s="6" t="s">
        <v>858</v>
      </c>
      <c r="C116" s="6" t="s">
        <v>864</v>
      </c>
      <c r="D116" s="6" t="s">
        <v>865</v>
      </c>
      <c r="E116" s="6" t="s">
        <v>335</v>
      </c>
      <c r="F116" s="6" t="s">
        <v>863</v>
      </c>
      <c r="G116" s="6" t="s">
        <v>33</v>
      </c>
      <c r="H116" s="6"/>
    </row>
    <row r="117" ht="15.75" customHeight="1">
      <c r="A117" s="6" t="s">
        <v>86</v>
      </c>
      <c r="B117" s="6" t="s">
        <v>858</v>
      </c>
      <c r="C117" s="6" t="s">
        <v>866</v>
      </c>
      <c r="D117" s="6" t="s">
        <v>867</v>
      </c>
      <c r="E117" s="6" t="s">
        <v>335</v>
      </c>
      <c r="F117" s="6" t="s">
        <v>868</v>
      </c>
      <c r="G117" s="6" t="s">
        <v>33</v>
      </c>
      <c r="H117" s="6"/>
    </row>
    <row r="118" ht="15.75" customHeight="1">
      <c r="A118" s="6" t="s">
        <v>86</v>
      </c>
      <c r="B118" s="6" t="s">
        <v>869</v>
      </c>
      <c r="C118" s="6" t="s">
        <v>870</v>
      </c>
      <c r="D118" s="6" t="s">
        <v>871</v>
      </c>
      <c r="E118" s="6" t="s">
        <v>335</v>
      </c>
      <c r="F118" s="6" t="s">
        <v>872</v>
      </c>
      <c r="G118" s="6" t="s">
        <v>33</v>
      </c>
      <c r="H118" s="6"/>
    </row>
    <row r="119" ht="15.75" customHeight="1">
      <c r="A119" s="6" t="s">
        <v>86</v>
      </c>
      <c r="B119" s="6" t="s">
        <v>869</v>
      </c>
      <c r="C119" s="6" t="s">
        <v>873</v>
      </c>
      <c r="D119" s="6" t="s">
        <v>874</v>
      </c>
      <c r="E119" s="6" t="s">
        <v>335</v>
      </c>
      <c r="F119" s="6" t="s">
        <v>875</v>
      </c>
      <c r="G119" s="6" t="s">
        <v>33</v>
      </c>
      <c r="H119" s="6"/>
    </row>
    <row r="120" ht="15.75" customHeight="1">
      <c r="A120" s="6" t="s">
        <v>86</v>
      </c>
      <c r="B120" s="6" t="s">
        <v>869</v>
      </c>
      <c r="C120" s="6" t="s">
        <v>876</v>
      </c>
      <c r="D120" s="6" t="s">
        <v>877</v>
      </c>
      <c r="E120" s="6" t="s">
        <v>335</v>
      </c>
      <c r="F120" s="6" t="s">
        <v>878</v>
      </c>
      <c r="G120" s="6" t="s">
        <v>33</v>
      </c>
      <c r="H120" s="6"/>
    </row>
    <row r="121" ht="15.75" customHeight="1">
      <c r="A121" s="6" t="s">
        <v>86</v>
      </c>
      <c r="B121" s="6" t="s">
        <v>879</v>
      </c>
      <c r="C121" s="6" t="s">
        <v>880</v>
      </c>
      <c r="D121" s="6" t="s">
        <v>881</v>
      </c>
      <c r="E121" s="6" t="s">
        <v>335</v>
      </c>
      <c r="F121" s="6" t="s">
        <v>882</v>
      </c>
      <c r="G121" s="6" t="s">
        <v>33</v>
      </c>
      <c r="H121" s="6"/>
    </row>
    <row r="122" ht="15.75" customHeight="1">
      <c r="A122" s="6" t="s">
        <v>86</v>
      </c>
      <c r="B122" s="6" t="s">
        <v>879</v>
      </c>
      <c r="C122" s="6" t="s">
        <v>883</v>
      </c>
      <c r="D122" s="6" t="s">
        <v>884</v>
      </c>
      <c r="E122" s="6" t="s">
        <v>335</v>
      </c>
      <c r="F122" s="6" t="s">
        <v>885</v>
      </c>
      <c r="G122" s="6" t="s">
        <v>33</v>
      </c>
      <c r="H122" s="6"/>
    </row>
    <row r="123" ht="15.75" customHeight="1">
      <c r="A123" s="6" t="s">
        <v>86</v>
      </c>
      <c r="B123" s="6" t="s">
        <v>879</v>
      </c>
      <c r="C123" s="6" t="s">
        <v>886</v>
      </c>
      <c r="D123" s="6" t="s">
        <v>887</v>
      </c>
      <c r="E123" s="6" t="s">
        <v>335</v>
      </c>
      <c r="F123" s="6" t="s">
        <v>888</v>
      </c>
      <c r="G123" s="6" t="s">
        <v>33</v>
      </c>
      <c r="H123" s="6"/>
    </row>
    <row r="124" ht="15.75" customHeight="1">
      <c r="A124" s="6" t="s">
        <v>86</v>
      </c>
      <c r="B124" s="6" t="s">
        <v>889</v>
      </c>
      <c r="C124" s="6" t="s">
        <v>890</v>
      </c>
      <c r="D124" s="6" t="s">
        <v>891</v>
      </c>
      <c r="E124" s="6" t="s">
        <v>335</v>
      </c>
      <c r="F124" s="6" t="s">
        <v>892</v>
      </c>
      <c r="G124" s="6" t="s">
        <v>33</v>
      </c>
      <c r="H124" s="6"/>
    </row>
    <row r="125" ht="15.75" customHeight="1">
      <c r="A125" s="6" t="s">
        <v>86</v>
      </c>
      <c r="B125" s="6" t="s">
        <v>889</v>
      </c>
      <c r="C125" s="6" t="s">
        <v>893</v>
      </c>
      <c r="D125" s="6" t="s">
        <v>894</v>
      </c>
      <c r="E125" s="6" t="s">
        <v>335</v>
      </c>
      <c r="F125" s="6" t="s">
        <v>895</v>
      </c>
      <c r="G125" s="6" t="s">
        <v>33</v>
      </c>
      <c r="H125" s="6"/>
    </row>
    <row r="126" ht="15.75" customHeight="1">
      <c r="A126" s="6" t="s">
        <v>86</v>
      </c>
      <c r="B126" s="6" t="s">
        <v>889</v>
      </c>
      <c r="C126" s="6" t="s">
        <v>896</v>
      </c>
      <c r="D126" s="6" t="s">
        <v>897</v>
      </c>
      <c r="E126" s="6" t="s">
        <v>335</v>
      </c>
      <c r="F126" s="6" t="s">
        <v>898</v>
      </c>
      <c r="G126" s="6" t="s">
        <v>33</v>
      </c>
      <c r="H126" s="6"/>
    </row>
    <row r="127" ht="15.75" customHeight="1">
      <c r="A127" s="6" t="s">
        <v>86</v>
      </c>
      <c r="B127" s="6" t="s">
        <v>899</v>
      </c>
      <c r="C127" s="6" t="s">
        <v>900</v>
      </c>
      <c r="D127" s="6" t="s">
        <v>901</v>
      </c>
      <c r="E127" s="6" t="s">
        <v>335</v>
      </c>
      <c r="F127" s="6" t="s">
        <v>902</v>
      </c>
      <c r="G127" s="6" t="s">
        <v>33</v>
      </c>
      <c r="H127" s="6"/>
    </row>
    <row r="128" ht="15.75" customHeight="1">
      <c r="A128" s="6" t="s">
        <v>86</v>
      </c>
      <c r="B128" s="6" t="s">
        <v>899</v>
      </c>
      <c r="C128" s="6" t="s">
        <v>903</v>
      </c>
      <c r="D128" s="6" t="s">
        <v>904</v>
      </c>
      <c r="E128" s="6" t="s">
        <v>335</v>
      </c>
      <c r="F128" s="6" t="s">
        <v>905</v>
      </c>
      <c r="G128" s="6" t="s">
        <v>33</v>
      </c>
      <c r="H128" s="6"/>
    </row>
    <row r="129" ht="15.75" customHeight="1">
      <c r="A129" s="6" t="s">
        <v>86</v>
      </c>
      <c r="B129" s="6" t="s">
        <v>899</v>
      </c>
      <c r="C129" s="6" t="s">
        <v>906</v>
      </c>
      <c r="D129" s="6" t="s">
        <v>907</v>
      </c>
      <c r="E129" s="6" t="s">
        <v>335</v>
      </c>
      <c r="F129" s="6" t="s">
        <v>908</v>
      </c>
      <c r="G129" s="6" t="s">
        <v>33</v>
      </c>
      <c r="H129" s="6"/>
    </row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H1"/>
  </mergeCells>
  <conditionalFormatting sqref="A3:A129">
    <cfRule type="expression" dxfId="5" priority="1">
      <formula>A3="Ready"</formula>
    </cfRule>
  </conditionalFormatting>
  <conditionalFormatting sqref="A3:A129">
    <cfRule type="expression" dxfId="6" priority="2">
      <formula>A3="In progress"</formula>
    </cfRule>
  </conditionalFormatting>
  <conditionalFormatting sqref="A3:A129">
    <cfRule type="expression" dxfId="7" priority="3">
      <formula>A3="Needs replacement"</formula>
    </cfRule>
  </conditionalFormatting>
  <conditionalFormatting sqref="A3:A129">
    <cfRule type="expression" dxfId="8" priority="4">
      <formula>A3="Optional"</formula>
    </cfRule>
  </conditionalFormatting>
  <conditionalFormatting sqref="A3:A129">
    <cfRule type="expression" dxfId="9" priority="5">
      <formula>A3="Skip"</formula>
    </cfRule>
  </conditionalFormatting>
  <dataValidations>
    <dataValidation type="list" allowBlank="1" sqref="A3:A129">
      <formula1>"Not started,In progress,Ready,Needs replacement,Optional,Skip"</formula1>
    </dataValidation>
    <dataValidation type="list" allowBlank="1" sqref="G3:G129">
      <formula1>"Core,Recommended,Optional"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